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hongKe" sheetId="2" state="visible" r:id="rId2"/>
    <sheet xmlns:r="http://schemas.openxmlformats.org/officeDocument/2006/relationships" name="HoiQuy" sheetId="3" state="visible" r:id="rId3"/>
    <sheet xmlns:r="http://schemas.openxmlformats.org/officeDocument/2006/relationships" name="PhanTichNh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Khoảng cách vs Giá thuê (kèm giá trị dự đoán)</a:t>
            </a:r>
          </a:p>
        </rich>
      </tx>
    </title>
    <plotArea>
      <scatterChart>
        <ser>
          <idx val="0"/>
          <order val="0"/>
          <tx>
            <strRef>
              <f>'HoiQuy'!F2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'HoiQuy'!$E$3:$E$199</f>
            </numRef>
          </xVal>
          <yVal>
            <numRef>
              <f>'HoiQuy'!$F$3:$F$199</f>
            </numRef>
          </yVal>
        </ser>
        <ser>
          <idx val="1"/>
          <order val="1"/>
          <tx>
            <strRef>
              <f>'HoiQuy'!G2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'HoiQuy'!$E$3:$E$199</f>
            </numRef>
          </xVal>
          <yVal>
            <numRef>
              <f>'HoiQuy'!$G$3:$G$199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Khoảng cách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Giá thuê (triệu)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2" customWidth="1" min="4" max="4"/>
    <col width="11" customWidth="1" min="5" max="5"/>
    <col width="22" customWidth="1" min="6" max="6"/>
    <col width="16" customWidth="1" min="7" max="7"/>
    <col width="16" customWidth="1" min="8" max="8"/>
    <col width="10" customWidth="1" min="9" max="9"/>
    <col width="13" customWidth="1" min="10" max="10"/>
  </cols>
  <sheetData>
    <row r="1">
      <c r="A1" s="1" t="inlineStr">
        <is>
          <t>Ho_Ten</t>
        </is>
      </c>
      <c r="B1" s="1" t="inlineStr">
        <is>
          <t>Gioi_Tinh</t>
        </is>
      </c>
      <c r="C1" s="1" t="inlineStr">
        <is>
          <t>Ma_SV</t>
        </is>
      </c>
      <c r="D1" s="1" t="inlineStr">
        <is>
          <t>Nganh</t>
        </is>
      </c>
      <c r="E1" s="1" t="inlineStr">
        <is>
          <t>Khu_Vuc</t>
        </is>
      </c>
      <c r="F1" s="1" t="inlineStr">
        <is>
          <t>Loai_Phong</t>
        </is>
      </c>
      <c r="G1" s="1" t="inlineStr">
        <is>
          <t>Khoang_Cach_km</t>
        </is>
      </c>
      <c r="H1" s="1" t="inlineStr">
        <is>
          <t>Gia_Thue_Trieu</t>
        </is>
      </c>
      <c r="I1" s="1" t="inlineStr">
        <is>
          <t>So_Nguoi</t>
        </is>
      </c>
      <c r="J1" s="1" t="inlineStr">
        <is>
          <t>Phuong_Tien</t>
        </is>
      </c>
    </row>
    <row r="2">
      <c r="A2" t="inlineStr">
        <is>
          <t>Nguyễn Văn An</t>
        </is>
      </c>
      <c r="B2" t="inlineStr">
        <is>
          <t>Nam</t>
        </is>
      </c>
      <c r="C2" t="inlineStr">
        <is>
          <t>HE185306</t>
        </is>
      </c>
      <c r="D2" t="inlineStr">
        <is>
          <t>Công nghệ thông tin</t>
        </is>
      </c>
      <c r="E2" t="inlineStr">
        <is>
          <t>Tân Xã</t>
        </is>
      </c>
      <c r="F2" t="inlineStr">
        <is>
          <t>Phòng trọ cơ bản</t>
        </is>
      </c>
      <c r="G2" t="n">
        <v>3.1</v>
      </c>
      <c r="H2" t="n">
        <v>2.1</v>
      </c>
      <c r="I2" t="n">
        <v>2</v>
      </c>
      <c r="J2" t="inlineStr">
        <is>
          <t>Xe máy</t>
        </is>
      </c>
    </row>
    <row r="3">
      <c r="A3" t="inlineStr">
        <is>
          <t>Trần Thị Bình</t>
        </is>
      </c>
      <c r="B3" t="inlineStr">
        <is>
          <t>Nữ</t>
        </is>
      </c>
      <c r="C3" t="inlineStr">
        <is>
          <t>HA192472</t>
        </is>
      </c>
      <c r="D3" t="inlineStr">
        <is>
          <t>Quản trị kinh doanh</t>
        </is>
      </c>
      <c r="E3" t="inlineStr">
        <is>
          <t>Thạch Hòa</t>
        </is>
      </c>
      <c r="F3" t="inlineStr">
        <is>
          <t>Phòng trọ cơ bản</t>
        </is>
      </c>
      <c r="G3" t="n">
        <v>3.2</v>
      </c>
      <c r="H3" t="n">
        <v>2.1</v>
      </c>
      <c r="I3" t="n">
        <v>2</v>
      </c>
      <c r="J3" t="inlineStr">
        <is>
          <t>Xe máy</t>
        </is>
      </c>
    </row>
    <row r="4">
      <c r="A4" t="inlineStr">
        <is>
          <t>Lê Hoàng Cường</t>
        </is>
      </c>
      <c r="B4" t="inlineStr">
        <is>
          <t>Nam</t>
        </is>
      </c>
      <c r="C4" t="inlineStr">
        <is>
          <t>HS196469</t>
        </is>
      </c>
      <c r="D4" t="inlineStr">
        <is>
          <t>An toàn thông tin</t>
        </is>
      </c>
      <c r="E4" t="inlineStr">
        <is>
          <t>Tân Xã</t>
        </is>
      </c>
      <c r="F4" t="inlineStr">
        <is>
          <t>Phòng trọ cơ bản</t>
        </is>
      </c>
      <c r="G4" t="n">
        <v>1.9</v>
      </c>
      <c r="H4" t="n">
        <v>2.1</v>
      </c>
      <c r="I4" t="n">
        <v>2</v>
      </c>
      <c r="J4" t="inlineStr">
        <is>
          <t>Đi bộ</t>
        </is>
      </c>
    </row>
    <row r="5">
      <c r="A5" t="inlineStr">
        <is>
          <t>Phạm Thị Dung</t>
        </is>
      </c>
      <c r="B5" t="inlineStr">
        <is>
          <t>Nữ</t>
        </is>
      </c>
      <c r="C5" t="inlineStr">
        <is>
          <t>HE180792</t>
        </is>
      </c>
      <c r="D5" t="inlineStr">
        <is>
          <t>Công nghệ thông tin</t>
        </is>
      </c>
      <c r="E5" t="inlineStr">
        <is>
          <t>Dom A</t>
        </is>
      </c>
      <c r="F5" t="inlineStr">
        <is>
          <t>Ký túc xá</t>
        </is>
      </c>
      <c r="G5" t="n">
        <v>0.2</v>
      </c>
      <c r="H5" t="n">
        <v>1.1</v>
      </c>
      <c r="I5" t="n">
        <v>4</v>
      </c>
      <c r="J5" t="inlineStr">
        <is>
          <t>Đi bộ</t>
        </is>
      </c>
    </row>
    <row r="6">
      <c r="A6" t="inlineStr">
        <is>
          <t>Hoàng Văn Thắng</t>
        </is>
      </c>
      <c r="B6" t="inlineStr">
        <is>
          <t>Nam</t>
        </is>
      </c>
      <c r="C6" t="inlineStr">
        <is>
          <t>HC181187</t>
        </is>
      </c>
      <c r="D6" t="inlineStr">
        <is>
          <t>Thiết kế mỹ thuật số</t>
        </is>
      </c>
      <c r="E6" t="inlineStr">
        <is>
          <t>Hòa Lạc</t>
        </is>
      </c>
      <c r="F6" t="inlineStr">
        <is>
          <t>Phòng khép kín</t>
        </is>
      </c>
      <c r="G6" t="n">
        <v>5</v>
      </c>
      <c r="H6" t="n">
        <v>1.9</v>
      </c>
      <c r="I6" t="n">
        <v>1</v>
      </c>
      <c r="J6" t="inlineStr">
        <is>
          <t>Xe buýt</t>
        </is>
      </c>
    </row>
    <row r="7">
      <c r="A7" t="inlineStr">
        <is>
          <t>Vũ Thị Phương</t>
        </is>
      </c>
      <c r="B7" t="inlineStr">
        <is>
          <t>Nữ</t>
        </is>
      </c>
      <c r="C7" t="inlineStr">
        <is>
          <t>HE188780</t>
        </is>
      </c>
      <c r="D7" t="inlineStr">
        <is>
          <t>Công nghệ thông tin</t>
        </is>
      </c>
      <c r="E7" t="inlineStr">
        <is>
          <t>Tân Xã</t>
        </is>
      </c>
      <c r="F7" t="inlineStr">
        <is>
          <t>Phòng trọ cơ bản</t>
        </is>
      </c>
      <c r="G7" t="n">
        <v>2.5</v>
      </c>
      <c r="H7" t="n">
        <v>2.3</v>
      </c>
      <c r="I7" t="n">
        <v>1</v>
      </c>
      <c r="J7" t="inlineStr">
        <is>
          <t>Xe máy</t>
        </is>
      </c>
    </row>
    <row r="8">
      <c r="A8" t="inlineStr">
        <is>
          <t>Đoàn Văn Giang</t>
        </is>
      </c>
      <c r="B8" t="inlineStr">
        <is>
          <t>Nam</t>
        </is>
      </c>
      <c r="C8" t="inlineStr">
        <is>
          <t>HS191543</t>
        </is>
      </c>
      <c r="D8" t="inlineStr">
        <is>
          <t>An toàn thông tin</t>
        </is>
      </c>
      <c r="E8" t="inlineStr">
        <is>
          <t>Thạch Hòa</t>
        </is>
      </c>
      <c r="F8" t="inlineStr">
        <is>
          <t>Phòng trọ cơ bản</t>
        </is>
      </c>
      <c r="G8" t="n">
        <v>4.5</v>
      </c>
      <c r="H8" t="n">
        <v>1.9</v>
      </c>
      <c r="I8" t="n">
        <v>1</v>
      </c>
      <c r="J8" t="inlineStr">
        <is>
          <t>Xe máy</t>
        </is>
      </c>
    </row>
    <row r="9">
      <c r="A9" t="inlineStr">
        <is>
          <t>Bùi Thị Hoa</t>
        </is>
      </c>
      <c r="B9" t="inlineStr">
        <is>
          <t>Nữ</t>
        </is>
      </c>
      <c r="C9" t="inlineStr">
        <is>
          <t>HE195992</t>
        </is>
      </c>
      <c r="D9" t="inlineStr">
        <is>
          <t>Công nghệ thông tin</t>
        </is>
      </c>
      <c r="E9" t="inlineStr">
        <is>
          <t>Hòa Lạc</t>
        </is>
      </c>
      <c r="F9" t="inlineStr">
        <is>
          <t>Phòng khép kín</t>
        </is>
      </c>
      <c r="G9" t="n">
        <v>6.2</v>
      </c>
      <c r="H9" t="n">
        <v>1.8</v>
      </c>
      <c r="I9" t="n">
        <v>2</v>
      </c>
      <c r="J9" t="inlineStr">
        <is>
          <t>Xe buýt</t>
        </is>
      </c>
    </row>
    <row r="10">
      <c r="A10" t="inlineStr">
        <is>
          <t>Nguyễn Hải Đăng</t>
        </is>
      </c>
      <c r="B10" t="inlineStr">
        <is>
          <t>Nam</t>
        </is>
      </c>
      <c r="C10" t="inlineStr">
        <is>
          <t>HC199549</t>
        </is>
      </c>
      <c r="D10" t="inlineStr">
        <is>
          <t>Thiết kế mỹ thuật số</t>
        </is>
      </c>
      <c r="E10" t="inlineStr">
        <is>
          <t>Tân Xã</t>
        </is>
      </c>
      <c r="F10" t="inlineStr">
        <is>
          <t>Phòng trọ cơ bản</t>
        </is>
      </c>
      <c r="G10" t="n">
        <v>3.7</v>
      </c>
      <c r="H10" t="n">
        <v>2.1</v>
      </c>
      <c r="I10" t="n">
        <v>1</v>
      </c>
      <c r="J10" t="inlineStr">
        <is>
          <t>Xe máy</t>
        </is>
      </c>
    </row>
    <row r="11">
      <c r="A11" t="inlineStr">
        <is>
          <t>Lê Khắc Khánh</t>
        </is>
      </c>
      <c r="B11" t="inlineStr">
        <is>
          <t>Nam</t>
        </is>
      </c>
      <c r="C11" t="inlineStr">
        <is>
          <t>HC200951</t>
        </is>
      </c>
      <c r="D11" t="inlineStr">
        <is>
          <t>Thiết kế mỹ thuật số</t>
        </is>
      </c>
      <c r="E11" t="inlineStr">
        <is>
          <t>Dom B</t>
        </is>
      </c>
      <c r="F11" t="inlineStr">
        <is>
          <t>Ký túc xá</t>
        </is>
      </c>
      <c r="G11" t="n">
        <v>0.3</v>
      </c>
      <c r="H11" t="n">
        <v>1.1</v>
      </c>
      <c r="I11" t="n">
        <v>4</v>
      </c>
      <c r="J11" t="inlineStr">
        <is>
          <t>Đi bộ</t>
        </is>
      </c>
    </row>
    <row r="12">
      <c r="A12" t="inlineStr">
        <is>
          <t>Phan Thị Lan</t>
        </is>
      </c>
      <c r="B12" t="inlineStr">
        <is>
          <t>Nữ</t>
        </is>
      </c>
      <c r="C12" t="inlineStr">
        <is>
          <t>HE198314</t>
        </is>
      </c>
      <c r="D12" t="inlineStr">
        <is>
          <t>Công nghệ thông tin</t>
        </is>
      </c>
      <c r="E12" t="inlineStr">
        <is>
          <t>Thạch Hòa</t>
        </is>
      </c>
      <c r="F12" t="inlineStr">
        <is>
          <t>Phòng trọ cơ bản</t>
        </is>
      </c>
      <c r="G12" t="n">
        <v>3.5</v>
      </c>
      <c r="H12" t="n">
        <v>2.1</v>
      </c>
      <c r="I12" t="n">
        <v>1</v>
      </c>
      <c r="J12" t="inlineStr">
        <is>
          <t>Xe máy</t>
        </is>
      </c>
    </row>
    <row r="13">
      <c r="A13" t="inlineStr">
        <is>
          <t>Trần Mạnh</t>
        </is>
      </c>
      <c r="B13" t="inlineStr">
        <is>
          <t>Nam</t>
        </is>
      </c>
      <c r="C13" t="inlineStr">
        <is>
          <t>HC203518</t>
        </is>
      </c>
      <c r="D13" t="inlineStr">
        <is>
          <t>Thiết kế mỹ thuật số</t>
        </is>
      </c>
      <c r="E13" t="inlineStr">
        <is>
          <t>Hòa Lạc</t>
        </is>
      </c>
      <c r="F13" t="inlineStr">
        <is>
          <t>Phòng khép kín</t>
        </is>
      </c>
      <c r="G13" t="n">
        <v>7</v>
      </c>
      <c r="H13" t="n">
        <v>1.5</v>
      </c>
      <c r="I13" t="n">
        <v>2</v>
      </c>
      <c r="J13" t="inlineStr">
        <is>
          <t>Xe buýt</t>
        </is>
      </c>
    </row>
    <row r="14">
      <c r="A14" t="inlineStr">
        <is>
          <t>Nguyễn Thị Ngân</t>
        </is>
      </c>
      <c r="B14" t="inlineStr">
        <is>
          <t>Nữ</t>
        </is>
      </c>
      <c r="C14" t="inlineStr">
        <is>
          <t>HA190615</t>
        </is>
      </c>
      <c r="D14" t="inlineStr">
        <is>
          <t>Quản trị kinh doanh</t>
        </is>
      </c>
      <c r="E14" t="inlineStr">
        <is>
          <t>Tân Xã</t>
        </is>
      </c>
      <c r="F14" t="inlineStr">
        <is>
          <t>Phòng trọ cơ bản</t>
        </is>
      </c>
      <c r="G14" t="n">
        <v>2.7</v>
      </c>
      <c r="H14" t="n">
        <v>2.4</v>
      </c>
      <c r="I14" t="n">
        <v>1</v>
      </c>
      <c r="J14" t="inlineStr">
        <is>
          <t>Xe máy</t>
        </is>
      </c>
    </row>
    <row r="15">
      <c r="A15" t="inlineStr">
        <is>
          <t>Lê Văn Oanh</t>
        </is>
      </c>
      <c r="B15" t="inlineStr">
        <is>
          <t>Nam</t>
        </is>
      </c>
      <c r="C15" t="inlineStr">
        <is>
          <t>HS201409</t>
        </is>
      </c>
      <c r="D15" t="inlineStr">
        <is>
          <t>An toàn thông tin</t>
        </is>
      </c>
      <c r="E15" t="inlineStr">
        <is>
          <t>Dom C</t>
        </is>
      </c>
      <c r="F15" t="inlineStr">
        <is>
          <t>Ký túc xá</t>
        </is>
      </c>
      <c r="G15" t="n">
        <v>0.4</v>
      </c>
      <c r="H15" t="n">
        <v>1.1</v>
      </c>
      <c r="I15" t="n">
        <v>4</v>
      </c>
      <c r="J15" t="inlineStr">
        <is>
          <t>Đi bộ</t>
        </is>
      </c>
    </row>
    <row r="16">
      <c r="A16" t="inlineStr">
        <is>
          <t>Phùng Thị Cúc</t>
        </is>
      </c>
      <c r="B16" t="inlineStr">
        <is>
          <t>Nữ</t>
        </is>
      </c>
      <c r="C16" t="inlineStr">
        <is>
          <t>HE187105</t>
        </is>
      </c>
      <c r="D16" t="inlineStr">
        <is>
          <t>Công nghệ thông tin</t>
        </is>
      </c>
      <c r="E16" t="inlineStr">
        <is>
          <t>Thạch Hòa</t>
        </is>
      </c>
      <c r="F16" t="inlineStr">
        <is>
          <t>Chung cư mini</t>
        </is>
      </c>
      <c r="G16" t="n">
        <v>4</v>
      </c>
      <c r="H16" t="n">
        <v>2.6</v>
      </c>
      <c r="I16" t="n">
        <v>2</v>
      </c>
      <c r="J16" t="inlineStr">
        <is>
          <t>Xe máy</t>
        </is>
      </c>
    </row>
    <row r="17">
      <c r="A17" t="inlineStr">
        <is>
          <t>Đoàn Quân</t>
        </is>
      </c>
      <c r="B17" t="inlineStr">
        <is>
          <t>Nam</t>
        </is>
      </c>
      <c r="C17" t="inlineStr">
        <is>
          <t>HC186852</t>
        </is>
      </c>
      <c r="D17" t="inlineStr">
        <is>
          <t>Thiết kế mỹ thuật số</t>
        </is>
      </c>
      <c r="E17" t="inlineStr">
        <is>
          <t>Hòa Lạc</t>
        </is>
      </c>
      <c r="F17" t="inlineStr">
        <is>
          <t>Phòng khép kín</t>
        </is>
      </c>
      <c r="G17" t="n">
        <v>5.5</v>
      </c>
      <c r="H17" t="n">
        <v>1.8</v>
      </c>
      <c r="I17" t="n">
        <v>1</v>
      </c>
      <c r="J17" t="inlineStr">
        <is>
          <t>Xe buýt</t>
        </is>
      </c>
    </row>
    <row r="18">
      <c r="A18" t="inlineStr">
        <is>
          <t>Nguyễn Văn Trung</t>
        </is>
      </c>
      <c r="B18" t="inlineStr">
        <is>
          <t>Nam</t>
        </is>
      </c>
      <c r="C18" t="inlineStr">
        <is>
          <t>HA201145</t>
        </is>
      </c>
      <c r="D18" t="inlineStr">
        <is>
          <t>Quản trị kinh doanh</t>
        </is>
      </c>
      <c r="E18" t="inlineStr">
        <is>
          <t>Tân Xã</t>
        </is>
      </c>
      <c r="F18" t="inlineStr">
        <is>
          <t>Phòng trọ cơ bản</t>
        </is>
      </c>
      <c r="G18" t="n">
        <v>3.5</v>
      </c>
      <c r="H18" t="n">
        <v>2.2</v>
      </c>
      <c r="I18" t="n">
        <v>1</v>
      </c>
      <c r="J18" t="inlineStr">
        <is>
          <t>Xe máy</t>
        </is>
      </c>
    </row>
    <row r="19">
      <c r="A19" t="inlineStr">
        <is>
          <t>Trần Thị Sen</t>
        </is>
      </c>
      <c r="B19" t="inlineStr">
        <is>
          <t>Nữ</t>
        </is>
      </c>
      <c r="C19" t="inlineStr">
        <is>
          <t>HA183944</t>
        </is>
      </c>
      <c r="D19" t="inlineStr">
        <is>
          <t>Quản trị kinh doanh</t>
        </is>
      </c>
      <c r="E19" t="inlineStr">
        <is>
          <t>Dom D</t>
        </is>
      </c>
      <c r="F19" t="inlineStr">
        <is>
          <t>Ký túc xá</t>
        </is>
      </c>
      <c r="G19" t="n">
        <v>0.5</v>
      </c>
      <c r="H19" t="n">
        <v>1.1</v>
      </c>
      <c r="I19" t="n">
        <v>4</v>
      </c>
      <c r="J19" t="inlineStr">
        <is>
          <t>Đi bộ</t>
        </is>
      </c>
    </row>
    <row r="20">
      <c r="A20" t="inlineStr">
        <is>
          <t>Lê Văn Toàn</t>
        </is>
      </c>
      <c r="B20" t="inlineStr">
        <is>
          <t>Nam</t>
        </is>
      </c>
      <c r="C20" t="inlineStr">
        <is>
          <t>HC181487</t>
        </is>
      </c>
      <c r="D20" t="inlineStr">
        <is>
          <t>Thiết kế mỹ thuật số</t>
        </is>
      </c>
      <c r="E20" t="inlineStr">
        <is>
          <t>Thạch Hòa</t>
        </is>
      </c>
      <c r="F20" t="inlineStr">
        <is>
          <t>Phòng trọ cơ bản</t>
        </is>
      </c>
      <c r="G20" t="n">
        <v>2.8</v>
      </c>
      <c r="H20" t="n">
        <v>2</v>
      </c>
      <c r="I20" t="n">
        <v>1</v>
      </c>
      <c r="J20" t="inlineStr">
        <is>
          <t>Xe máy</t>
        </is>
      </c>
    </row>
    <row r="21">
      <c r="A21" t="inlineStr">
        <is>
          <t>Phạm Thị Uyên</t>
        </is>
      </c>
      <c r="B21" t="inlineStr">
        <is>
          <t>Nữ</t>
        </is>
      </c>
      <c r="C21" t="inlineStr">
        <is>
          <t>HC189029</t>
        </is>
      </c>
      <c r="D21" t="inlineStr">
        <is>
          <t>Thiết kế mỹ thuật số</t>
        </is>
      </c>
      <c r="E21" t="inlineStr">
        <is>
          <t>Hòa Lạc</t>
        </is>
      </c>
      <c r="F21" t="inlineStr">
        <is>
          <t>Phòng khép kín</t>
        </is>
      </c>
      <c r="G21" t="n">
        <v>8</v>
      </c>
      <c r="H21" t="n">
        <v>1.4</v>
      </c>
      <c r="I21" t="n">
        <v>1</v>
      </c>
      <c r="J21" t="inlineStr">
        <is>
          <t>Xe buýt</t>
        </is>
      </c>
    </row>
    <row r="22">
      <c r="A22" t="inlineStr">
        <is>
          <t>Vũ Văn Vàng</t>
        </is>
      </c>
      <c r="B22" t="inlineStr">
        <is>
          <t>Nam</t>
        </is>
      </c>
      <c r="C22" t="inlineStr">
        <is>
          <t>HA206956</t>
        </is>
      </c>
      <c r="D22" t="inlineStr">
        <is>
          <t>Quản trị kinh doanh</t>
        </is>
      </c>
      <c r="E22" t="inlineStr">
        <is>
          <t>Tân Xã</t>
        </is>
      </c>
      <c r="F22" t="inlineStr">
        <is>
          <t>Phòng trọ cơ bản</t>
        </is>
      </c>
      <c r="G22" t="n">
        <v>4.3</v>
      </c>
      <c r="H22" t="n">
        <v>1.9</v>
      </c>
      <c r="I22" t="n">
        <v>2</v>
      </c>
      <c r="J22" t="inlineStr">
        <is>
          <t>Xe máy</t>
        </is>
      </c>
    </row>
    <row r="23">
      <c r="A23" t="inlineStr">
        <is>
          <t>Hoàng Thị Xuân</t>
        </is>
      </c>
      <c r="B23" t="inlineStr">
        <is>
          <t>Nữ</t>
        </is>
      </c>
      <c r="C23" t="inlineStr">
        <is>
          <t>HS180969</t>
        </is>
      </c>
      <c r="D23" t="inlineStr">
        <is>
          <t>An toàn thông tin</t>
        </is>
      </c>
      <c r="E23" t="inlineStr">
        <is>
          <t>Thạch Hòa</t>
        </is>
      </c>
      <c r="F23" t="inlineStr">
        <is>
          <t>Chung cư mini</t>
        </is>
      </c>
      <c r="G23" t="n">
        <v>3</v>
      </c>
      <c r="H23" t="n">
        <v>3.1</v>
      </c>
      <c r="I23" t="n">
        <v>2</v>
      </c>
      <c r="J23" t="inlineStr">
        <is>
          <t>Xe máy</t>
        </is>
      </c>
    </row>
    <row r="24">
      <c r="A24" t="inlineStr">
        <is>
          <t>Bùi Văn Yến</t>
        </is>
      </c>
      <c r="B24" t="inlineStr">
        <is>
          <t>Nam</t>
        </is>
      </c>
      <c r="C24" t="inlineStr">
        <is>
          <t>HE199265</t>
        </is>
      </c>
      <c r="D24" t="inlineStr">
        <is>
          <t>Công nghệ thông tin</t>
        </is>
      </c>
      <c r="E24" t="inlineStr">
        <is>
          <t>Hòa Lạc</t>
        </is>
      </c>
      <c r="F24" t="inlineStr">
        <is>
          <t>Phòng khép kín</t>
        </is>
      </c>
      <c r="G24" t="n">
        <v>6.5</v>
      </c>
      <c r="H24" t="n">
        <v>1.7</v>
      </c>
      <c r="I24" t="n">
        <v>2</v>
      </c>
      <c r="J24" t="inlineStr">
        <is>
          <t>Xe buýt</t>
        </is>
      </c>
    </row>
    <row r="25">
      <c r="A25" t="inlineStr">
        <is>
          <t>Nguyễn Xuân Anh</t>
        </is>
      </c>
      <c r="B25" t="inlineStr">
        <is>
          <t>Nữ</t>
        </is>
      </c>
      <c r="C25" t="inlineStr">
        <is>
          <t>HA182029</t>
        </is>
      </c>
      <c r="D25" t="inlineStr">
        <is>
          <t>Quản trị kinh doanh</t>
        </is>
      </c>
      <c r="E25" t="inlineStr">
        <is>
          <t>Dom A</t>
        </is>
      </c>
      <c r="F25" t="inlineStr">
        <is>
          <t>Ký túc xá</t>
        </is>
      </c>
      <c r="G25" t="n">
        <v>0.2</v>
      </c>
      <c r="H25" t="n">
        <v>1.1</v>
      </c>
      <c r="I25" t="n">
        <v>4</v>
      </c>
      <c r="J25" t="inlineStr">
        <is>
          <t>Đi bộ</t>
        </is>
      </c>
    </row>
    <row r="26">
      <c r="A26" t="inlineStr">
        <is>
          <t>Lê Thị Bé</t>
        </is>
      </c>
      <c r="B26" t="inlineStr">
        <is>
          <t>Nữ</t>
        </is>
      </c>
      <c r="C26" t="inlineStr">
        <is>
          <t>HS183658</t>
        </is>
      </c>
      <c r="D26" t="inlineStr">
        <is>
          <t>An toàn thông tin</t>
        </is>
      </c>
      <c r="E26" t="inlineStr">
        <is>
          <t>Tân Xã</t>
        </is>
      </c>
      <c r="F26" t="inlineStr">
        <is>
          <t>Chung cư mini/Studio</t>
        </is>
      </c>
      <c r="G26" t="n">
        <v>3.1</v>
      </c>
      <c r="H26" t="n">
        <v>2.8</v>
      </c>
      <c r="I26" t="n">
        <v>2</v>
      </c>
      <c r="J26" t="inlineStr">
        <is>
          <t>Xe máy</t>
        </is>
      </c>
    </row>
    <row r="27">
      <c r="A27" t="inlineStr">
        <is>
          <t>Trần Văn Chính</t>
        </is>
      </c>
      <c r="B27" t="inlineStr">
        <is>
          <t>Nam</t>
        </is>
      </c>
      <c r="C27" t="inlineStr">
        <is>
          <t>HC209552</t>
        </is>
      </c>
      <c r="D27" t="inlineStr">
        <is>
          <t>Thiết kế mỹ thuật số</t>
        </is>
      </c>
      <c r="E27" t="inlineStr">
        <is>
          <t>Thạch Hòa</t>
        </is>
      </c>
      <c r="F27" t="inlineStr">
        <is>
          <t>Phòng trọ cơ bản</t>
        </is>
      </c>
      <c r="G27" t="n">
        <v>4.2</v>
      </c>
      <c r="H27" t="n">
        <v>1.8</v>
      </c>
      <c r="I27" t="n">
        <v>1</v>
      </c>
      <c r="J27" t="inlineStr">
        <is>
          <t>Xe máy</t>
        </is>
      </c>
    </row>
    <row r="28">
      <c r="A28" t="inlineStr">
        <is>
          <t>Phạm Thị Đoan</t>
        </is>
      </c>
      <c r="B28" t="inlineStr">
        <is>
          <t>Nữ</t>
        </is>
      </c>
      <c r="C28" t="inlineStr">
        <is>
          <t>HC201014</t>
        </is>
      </c>
      <c r="D28" t="inlineStr">
        <is>
          <t>Thiết kế mỹ thuật số</t>
        </is>
      </c>
      <c r="E28" t="inlineStr">
        <is>
          <t>Hòa Lạc</t>
        </is>
      </c>
      <c r="F28" t="inlineStr">
        <is>
          <t>Phòng khép kín</t>
        </is>
      </c>
      <c r="G28" t="n">
        <v>5.2</v>
      </c>
      <c r="H28" t="n">
        <v>1.9</v>
      </c>
      <c r="I28" t="n">
        <v>2</v>
      </c>
      <c r="J28" t="inlineStr">
        <is>
          <t>Xe buýt</t>
        </is>
      </c>
    </row>
    <row r="29">
      <c r="A29" t="inlineStr">
        <is>
          <t>Vũ Văn Đạt</t>
        </is>
      </c>
      <c r="B29" t="inlineStr">
        <is>
          <t>Nam</t>
        </is>
      </c>
      <c r="C29" t="inlineStr">
        <is>
          <t>HS209456</t>
        </is>
      </c>
      <c r="D29" t="inlineStr">
        <is>
          <t>An toàn thông tin</t>
        </is>
      </c>
      <c r="E29" t="inlineStr">
        <is>
          <t>Tân Xã</t>
        </is>
      </c>
      <c r="F29" t="inlineStr">
        <is>
          <t>Phòng trọ cơ bản</t>
        </is>
      </c>
      <c r="G29" t="n">
        <v>2.3</v>
      </c>
      <c r="H29" t="n">
        <v>2.3</v>
      </c>
      <c r="I29" t="n">
        <v>2</v>
      </c>
      <c r="J29" t="inlineStr">
        <is>
          <t>Xe máy</t>
        </is>
      </c>
    </row>
    <row r="30">
      <c r="A30" t="inlineStr">
        <is>
          <t>Hoàng Thị Gấm</t>
        </is>
      </c>
      <c r="B30" t="inlineStr">
        <is>
          <t>Nữ</t>
        </is>
      </c>
      <c r="C30" t="inlineStr">
        <is>
          <t>HA199594</t>
        </is>
      </c>
      <c r="D30" t="inlineStr">
        <is>
          <t>Quản trị kinh doanh</t>
        </is>
      </c>
      <c r="E30" t="inlineStr">
        <is>
          <t>Dom B</t>
        </is>
      </c>
      <c r="F30" t="inlineStr">
        <is>
          <t>Ký túc xá</t>
        </is>
      </c>
      <c r="G30" t="n">
        <v>0.3</v>
      </c>
      <c r="H30" t="n">
        <v>1.1</v>
      </c>
      <c r="I30" t="n">
        <v>4</v>
      </c>
      <c r="J30" t="inlineStr">
        <is>
          <t>Đi bộ</t>
        </is>
      </c>
    </row>
    <row r="31">
      <c r="A31" t="inlineStr">
        <is>
          <t>Bùi Văn Hùng</t>
        </is>
      </c>
      <c r="B31" t="inlineStr">
        <is>
          <t>Nam</t>
        </is>
      </c>
      <c r="C31" t="inlineStr">
        <is>
          <t>HA186500</t>
        </is>
      </c>
      <c r="D31" t="inlineStr">
        <is>
          <t>Quản trị kinh doanh</t>
        </is>
      </c>
      <c r="E31" t="inlineStr">
        <is>
          <t>Thạch Hòa</t>
        </is>
      </c>
      <c r="F31" t="inlineStr">
        <is>
          <t>Chung cư mini</t>
        </is>
      </c>
      <c r="G31" t="n">
        <v>3.8</v>
      </c>
      <c r="H31" t="n">
        <v>2.9</v>
      </c>
      <c r="I31" t="n">
        <v>2</v>
      </c>
      <c r="J31" t="inlineStr">
        <is>
          <t>Xe máy</t>
        </is>
      </c>
    </row>
    <row r="32">
      <c r="A32" t="inlineStr">
        <is>
          <t>Nguyễn Thị Linh</t>
        </is>
      </c>
      <c r="B32" t="inlineStr">
        <is>
          <t>Nữ</t>
        </is>
      </c>
      <c r="C32" t="inlineStr">
        <is>
          <t>HS190813</t>
        </is>
      </c>
      <c r="D32" t="inlineStr">
        <is>
          <t>An toàn thông tin</t>
        </is>
      </c>
      <c r="E32" t="inlineStr">
        <is>
          <t>Hòa Lạc</t>
        </is>
      </c>
      <c r="F32" t="inlineStr">
        <is>
          <t>Phòng khép kín</t>
        </is>
      </c>
      <c r="G32" t="n">
        <v>7.5</v>
      </c>
      <c r="H32" t="n">
        <v>1.5</v>
      </c>
      <c r="I32" t="n">
        <v>2</v>
      </c>
      <c r="J32" t="inlineStr">
        <is>
          <t>Xe buýt</t>
        </is>
      </c>
    </row>
    <row r="33">
      <c r="A33" t="inlineStr">
        <is>
          <t>Lê Văn Kiên</t>
        </is>
      </c>
      <c r="B33" t="inlineStr">
        <is>
          <t>Nam</t>
        </is>
      </c>
      <c r="C33" t="inlineStr">
        <is>
          <t>HS213623</t>
        </is>
      </c>
      <c r="D33" t="inlineStr">
        <is>
          <t>An toàn thông tin</t>
        </is>
      </c>
      <c r="E33" t="inlineStr">
        <is>
          <t>Tân Xã</t>
        </is>
      </c>
      <c r="F33" t="inlineStr">
        <is>
          <t>Phòng trọ cơ bản</t>
        </is>
      </c>
      <c r="G33" t="n">
        <v>3.9</v>
      </c>
      <c r="H33" t="n">
        <v>2</v>
      </c>
      <c r="I33" t="n">
        <v>1</v>
      </c>
      <c r="J33" t="inlineStr">
        <is>
          <t>Xe máy</t>
        </is>
      </c>
    </row>
    <row r="34">
      <c r="A34" t="inlineStr">
        <is>
          <t>Phan Thị Liễu</t>
        </is>
      </c>
      <c r="B34" t="inlineStr">
        <is>
          <t>Nữ</t>
        </is>
      </c>
      <c r="C34" t="inlineStr">
        <is>
          <t>HC200764</t>
        </is>
      </c>
      <c r="D34" t="inlineStr">
        <is>
          <t>Thiết kế mỹ thuật số</t>
        </is>
      </c>
      <c r="E34" t="inlineStr">
        <is>
          <t>Dom C</t>
        </is>
      </c>
      <c r="F34" t="inlineStr">
        <is>
          <t>Ký túc xá</t>
        </is>
      </c>
      <c r="G34" t="n">
        <v>0.4</v>
      </c>
      <c r="H34" t="n">
        <v>1.1</v>
      </c>
      <c r="I34" t="n">
        <v>4</v>
      </c>
      <c r="J34" t="inlineStr">
        <is>
          <t>Đi bộ</t>
        </is>
      </c>
    </row>
    <row r="35">
      <c r="A35" t="inlineStr">
        <is>
          <t>Trần Văn Minh</t>
        </is>
      </c>
      <c r="B35" t="inlineStr">
        <is>
          <t>Nam</t>
        </is>
      </c>
      <c r="C35" t="inlineStr">
        <is>
          <t>HS209121</t>
        </is>
      </c>
      <c r="D35" t="inlineStr">
        <is>
          <t>An toàn thông tin</t>
        </is>
      </c>
      <c r="E35" t="inlineStr">
        <is>
          <t>Thạch Hòa</t>
        </is>
      </c>
      <c r="F35" t="inlineStr">
        <is>
          <t>Chung cư mini</t>
        </is>
      </c>
      <c r="G35" t="n">
        <v>2.5</v>
      </c>
      <c r="H35" t="n">
        <v>3.1</v>
      </c>
      <c r="I35" t="n">
        <v>2</v>
      </c>
      <c r="J35" t="inlineStr">
        <is>
          <t>Xe máy</t>
        </is>
      </c>
    </row>
    <row r="36">
      <c r="A36" t="inlineStr">
        <is>
          <t>Nguyễn Thị Như</t>
        </is>
      </c>
      <c r="B36" t="inlineStr">
        <is>
          <t>Nữ</t>
        </is>
      </c>
      <c r="C36" t="inlineStr">
        <is>
          <t>HE192182</t>
        </is>
      </c>
      <c r="D36" t="inlineStr">
        <is>
          <t>Công nghệ thông tin</t>
        </is>
      </c>
      <c r="E36" t="inlineStr">
        <is>
          <t>Hòa Lạc</t>
        </is>
      </c>
      <c r="F36" t="inlineStr">
        <is>
          <t>Phòng khép kín</t>
        </is>
      </c>
      <c r="G36" t="n">
        <v>6</v>
      </c>
      <c r="H36" t="n">
        <v>1.9</v>
      </c>
      <c r="I36" t="n">
        <v>1</v>
      </c>
      <c r="J36" t="inlineStr">
        <is>
          <t>Xe buýt</t>
        </is>
      </c>
    </row>
    <row r="37">
      <c r="A37" t="inlineStr">
        <is>
          <t>Lê Văn Phong</t>
        </is>
      </c>
      <c r="B37" t="inlineStr">
        <is>
          <t>Nam</t>
        </is>
      </c>
      <c r="C37" t="inlineStr">
        <is>
          <t>HE204745</t>
        </is>
      </c>
      <c r="D37" t="inlineStr">
        <is>
          <t>Công nghệ thông tin</t>
        </is>
      </c>
      <c r="E37" t="inlineStr">
        <is>
          <t>Tân Xã</t>
        </is>
      </c>
      <c r="F37" t="inlineStr">
        <is>
          <t>Chung cư mini/Studio</t>
        </is>
      </c>
      <c r="G37" t="n">
        <v>2.6</v>
      </c>
      <c r="H37" t="n">
        <v>3</v>
      </c>
      <c r="I37" t="n">
        <v>2</v>
      </c>
      <c r="J37" t="inlineStr">
        <is>
          <t>Xe máy</t>
        </is>
      </c>
    </row>
    <row r="38">
      <c r="A38" t="inlineStr">
        <is>
          <t>Phùng Thị Quỳnh</t>
        </is>
      </c>
      <c r="B38" t="inlineStr">
        <is>
          <t>Nữ</t>
        </is>
      </c>
      <c r="C38" t="inlineStr">
        <is>
          <t>HC206868</t>
        </is>
      </c>
      <c r="D38" t="inlineStr">
        <is>
          <t>Thiết kế mỹ thuật số</t>
        </is>
      </c>
      <c r="E38" t="inlineStr">
        <is>
          <t>Dom D</t>
        </is>
      </c>
      <c r="F38" t="inlineStr">
        <is>
          <t>Ký túc xá</t>
        </is>
      </c>
      <c r="G38" t="n">
        <v>0.6</v>
      </c>
      <c r="H38" t="n">
        <v>1.1</v>
      </c>
      <c r="I38" t="n">
        <v>4</v>
      </c>
      <c r="J38" t="inlineStr">
        <is>
          <t>Đi bộ</t>
        </is>
      </c>
    </row>
    <row r="39">
      <c r="A39" t="inlineStr">
        <is>
          <t>Đoàn Văn Sinh</t>
        </is>
      </c>
      <c r="B39" t="inlineStr">
        <is>
          <t>Nam</t>
        </is>
      </c>
      <c r="C39" t="inlineStr">
        <is>
          <t>HE192364</t>
        </is>
      </c>
      <c r="D39" t="inlineStr">
        <is>
          <t>Công nghệ thông tin</t>
        </is>
      </c>
      <c r="E39" t="inlineStr">
        <is>
          <t>Thạch Hòa</t>
        </is>
      </c>
      <c r="F39" t="inlineStr">
        <is>
          <t>Chung cư mini</t>
        </is>
      </c>
      <c r="G39" t="n">
        <v>3.3</v>
      </c>
      <c r="H39" t="n">
        <v>2.8</v>
      </c>
      <c r="I39" t="n">
        <v>2</v>
      </c>
      <c r="J39" t="inlineStr">
        <is>
          <t>Xe máy</t>
        </is>
      </c>
    </row>
    <row r="40">
      <c r="A40" t="inlineStr">
        <is>
          <t>Nguyễn Thị Tú</t>
        </is>
      </c>
      <c r="B40" t="inlineStr">
        <is>
          <t>Nữ</t>
        </is>
      </c>
      <c r="C40" t="inlineStr">
        <is>
          <t>HA198859</t>
        </is>
      </c>
      <c r="D40" t="inlineStr">
        <is>
          <t>Quản trị kinh doanh</t>
        </is>
      </c>
      <c r="E40" t="inlineStr">
        <is>
          <t>Hòa Lạc</t>
        </is>
      </c>
      <c r="F40" t="inlineStr">
        <is>
          <t>Phòng khép kín</t>
        </is>
      </c>
      <c r="G40" t="n">
        <v>4.8</v>
      </c>
      <c r="H40" t="n">
        <v>2</v>
      </c>
      <c r="I40" t="n">
        <v>1</v>
      </c>
      <c r="J40" t="inlineStr">
        <is>
          <t>Xe buýt</t>
        </is>
      </c>
    </row>
    <row r="41">
      <c r="A41" t="inlineStr">
        <is>
          <t>Trần Văn Uy</t>
        </is>
      </c>
      <c r="B41" t="inlineStr">
        <is>
          <t>Nam</t>
        </is>
      </c>
      <c r="C41" t="inlineStr">
        <is>
          <t>HC211930</t>
        </is>
      </c>
      <c r="D41" t="inlineStr">
        <is>
          <t>Thiết kế mỹ thuật số</t>
        </is>
      </c>
      <c r="E41" t="inlineStr">
        <is>
          <t>Tân Xã</t>
        </is>
      </c>
      <c r="F41" t="inlineStr">
        <is>
          <t>Chung cư mini/Studio</t>
        </is>
      </c>
      <c r="G41" t="n">
        <v>3.3</v>
      </c>
      <c r="H41" t="n">
        <v>2.9</v>
      </c>
      <c r="I41" t="n">
        <v>3</v>
      </c>
      <c r="J41" t="inlineStr">
        <is>
          <t>Xe máy</t>
        </is>
      </c>
    </row>
    <row r="42">
      <c r="A42" t="inlineStr">
        <is>
          <t>Lê Thị Vy</t>
        </is>
      </c>
      <c r="B42" t="inlineStr">
        <is>
          <t>Nữ</t>
        </is>
      </c>
      <c r="C42" t="inlineStr">
        <is>
          <t>HC199354</t>
        </is>
      </c>
      <c r="D42" t="inlineStr">
        <is>
          <t>Thiết kế mỹ thuật số</t>
        </is>
      </c>
      <c r="E42" t="inlineStr">
        <is>
          <t>Dom A</t>
        </is>
      </c>
      <c r="F42" t="inlineStr">
        <is>
          <t>Ký túc xá</t>
        </is>
      </c>
      <c r="G42" t="n">
        <v>0.1</v>
      </c>
      <c r="H42" t="n">
        <v>1.1</v>
      </c>
      <c r="I42" t="n">
        <v>4</v>
      </c>
      <c r="J42" t="inlineStr">
        <is>
          <t>Đi bộ</t>
        </is>
      </c>
    </row>
    <row r="43">
      <c r="A43" t="inlineStr">
        <is>
          <t>Phạm Văn Hùng</t>
        </is>
      </c>
      <c r="B43" t="inlineStr">
        <is>
          <t>Nam</t>
        </is>
      </c>
      <c r="C43" t="inlineStr">
        <is>
          <t>HA195055</t>
        </is>
      </c>
      <c r="D43" t="inlineStr">
        <is>
          <t>Quản trị kinh doanh</t>
        </is>
      </c>
      <c r="E43" t="inlineStr">
        <is>
          <t>Thạch Hòa</t>
        </is>
      </c>
      <c r="F43" t="inlineStr">
        <is>
          <t>Phòng trọ cơ bản</t>
        </is>
      </c>
      <c r="G43" t="n">
        <v>2.9</v>
      </c>
      <c r="H43" t="n">
        <v>2.2</v>
      </c>
      <c r="I43" t="n">
        <v>2</v>
      </c>
      <c r="J43" t="inlineStr">
        <is>
          <t>Xe máy</t>
        </is>
      </c>
    </row>
    <row r="44">
      <c r="A44" t="inlineStr">
        <is>
          <t>Vũ Thị Yến</t>
        </is>
      </c>
      <c r="B44" t="inlineStr">
        <is>
          <t>Nữ</t>
        </is>
      </c>
      <c r="C44" t="inlineStr">
        <is>
          <t>HS209180</t>
        </is>
      </c>
      <c r="D44" t="inlineStr">
        <is>
          <t>An toàn thông tin</t>
        </is>
      </c>
      <c r="E44" t="inlineStr">
        <is>
          <t>Hòa Lạc</t>
        </is>
      </c>
      <c r="F44" t="inlineStr">
        <is>
          <t>Phòng khép kín</t>
        </is>
      </c>
      <c r="G44" t="n">
        <v>5.8</v>
      </c>
      <c r="H44" t="n">
        <v>1.7</v>
      </c>
      <c r="I44" t="n">
        <v>2</v>
      </c>
      <c r="J44" t="inlineStr">
        <is>
          <t>Xe buýt</t>
        </is>
      </c>
    </row>
    <row r="45">
      <c r="A45" t="inlineStr">
        <is>
          <t>Hoàng Văn An</t>
        </is>
      </c>
      <c r="B45" t="inlineStr">
        <is>
          <t>Nam</t>
        </is>
      </c>
      <c r="C45" t="inlineStr">
        <is>
          <t>HC212962</t>
        </is>
      </c>
      <c r="D45" t="inlineStr">
        <is>
          <t>Thiết kế mỹ thuật số</t>
        </is>
      </c>
      <c r="E45" t="inlineStr">
        <is>
          <t>Tân Xã</t>
        </is>
      </c>
      <c r="F45" t="inlineStr">
        <is>
          <t>Chung cư mini/Studio</t>
        </is>
      </c>
      <c r="G45" t="n">
        <v>2.9</v>
      </c>
      <c r="H45" t="n">
        <v>2.7</v>
      </c>
      <c r="I45" t="n">
        <v>3</v>
      </c>
      <c r="J45" t="inlineStr">
        <is>
          <t>Xe máy</t>
        </is>
      </c>
    </row>
    <row r="46">
      <c r="A46" t="inlineStr">
        <is>
          <t>Bùi Thị Bình</t>
        </is>
      </c>
      <c r="B46" t="inlineStr">
        <is>
          <t>Nữ</t>
        </is>
      </c>
      <c r="C46" t="inlineStr">
        <is>
          <t>HA191689</t>
        </is>
      </c>
      <c r="D46" t="inlineStr">
        <is>
          <t>Quản trị kinh doanh</t>
        </is>
      </c>
      <c r="E46" t="inlineStr">
        <is>
          <t>Dom B</t>
        </is>
      </c>
      <c r="F46" t="inlineStr">
        <is>
          <t>Ký túc xá</t>
        </is>
      </c>
      <c r="G46" t="n">
        <v>0.2</v>
      </c>
      <c r="H46" t="n">
        <v>1.1</v>
      </c>
      <c r="I46" t="n">
        <v>4</v>
      </c>
      <c r="J46" t="inlineStr">
        <is>
          <t>Đi bộ</t>
        </is>
      </c>
    </row>
    <row r="47">
      <c r="A47" t="inlineStr">
        <is>
          <t>Nguyễn Văn Cung</t>
        </is>
      </c>
      <c r="B47" t="inlineStr">
        <is>
          <t>Nam</t>
        </is>
      </c>
      <c r="C47" t="inlineStr">
        <is>
          <t>HS219529</t>
        </is>
      </c>
      <c r="D47" t="inlineStr">
        <is>
          <t>An toàn thông tin</t>
        </is>
      </c>
      <c r="E47" t="inlineStr">
        <is>
          <t>Thạch Hòa</t>
        </is>
      </c>
      <c r="F47" t="inlineStr">
        <is>
          <t>Phòng trọ cơ bản</t>
        </is>
      </c>
      <c r="G47" t="n">
        <v>3.6</v>
      </c>
      <c r="H47" t="n">
        <v>2</v>
      </c>
      <c r="I47" t="n">
        <v>2</v>
      </c>
      <c r="J47" t="inlineStr">
        <is>
          <t>Xe máy</t>
        </is>
      </c>
    </row>
    <row r="48">
      <c r="A48" t="inlineStr">
        <is>
          <t>Lê Thị Dung</t>
        </is>
      </c>
      <c r="B48" t="inlineStr">
        <is>
          <t>Nữ</t>
        </is>
      </c>
      <c r="C48" t="inlineStr">
        <is>
          <t>HE189359</t>
        </is>
      </c>
      <c r="D48" t="inlineStr">
        <is>
          <t>Công nghệ thông tin</t>
        </is>
      </c>
      <c r="E48" t="inlineStr">
        <is>
          <t>Hòa Lạc</t>
        </is>
      </c>
      <c r="F48" t="inlineStr">
        <is>
          <t>Phòng khép kín</t>
        </is>
      </c>
      <c r="G48" t="n">
        <v>8.5</v>
      </c>
      <c r="H48" t="n">
        <v>1.2</v>
      </c>
      <c r="I48" t="n">
        <v>2</v>
      </c>
      <c r="J48" t="inlineStr">
        <is>
          <t>Xe buýt</t>
        </is>
      </c>
    </row>
    <row r="49">
      <c r="A49" t="inlineStr">
        <is>
          <t>Trần Văn Hiếu</t>
        </is>
      </c>
      <c r="B49" t="inlineStr">
        <is>
          <t>Nam</t>
        </is>
      </c>
      <c r="C49" t="inlineStr">
        <is>
          <t>HE193079</t>
        </is>
      </c>
      <c r="D49" t="inlineStr">
        <is>
          <t>Công nghệ thông tin</t>
        </is>
      </c>
      <c r="E49" t="inlineStr">
        <is>
          <t>Tân Xã</t>
        </is>
      </c>
      <c r="F49" t="inlineStr">
        <is>
          <t>Chung cư mini/Studio</t>
        </is>
      </c>
      <c r="G49" t="n">
        <v>3.6</v>
      </c>
      <c r="H49" t="n">
        <v>3.1</v>
      </c>
      <c r="I49" t="n">
        <v>3</v>
      </c>
      <c r="J49" t="inlineStr">
        <is>
          <t>Xe máy</t>
        </is>
      </c>
    </row>
    <row r="50">
      <c r="A50" t="inlineStr">
        <is>
          <t>Phạm Thị Gấm</t>
        </is>
      </c>
      <c r="B50" t="inlineStr">
        <is>
          <t>Nữ</t>
        </is>
      </c>
      <c r="C50" t="inlineStr">
        <is>
          <t>HS216102</t>
        </is>
      </c>
      <c r="D50" t="inlineStr">
        <is>
          <t>An toàn thông tin</t>
        </is>
      </c>
      <c r="E50" t="inlineStr">
        <is>
          <t>Dom C</t>
        </is>
      </c>
      <c r="F50" t="inlineStr">
        <is>
          <t>Ký túc xá</t>
        </is>
      </c>
      <c r="G50" t="n">
        <v>0.3</v>
      </c>
      <c r="H50" t="n">
        <v>1.1</v>
      </c>
      <c r="I50" t="n">
        <v>4</v>
      </c>
      <c r="J50" t="inlineStr">
        <is>
          <t>Đi bộ</t>
        </is>
      </c>
    </row>
    <row r="51">
      <c r="A51" t="inlineStr">
        <is>
          <t>Vũ Văn Hải</t>
        </is>
      </c>
      <c r="B51" t="inlineStr">
        <is>
          <t>Nam</t>
        </is>
      </c>
      <c r="C51" t="inlineStr">
        <is>
          <t>HE211597</t>
        </is>
      </c>
      <c r="D51" t="inlineStr">
        <is>
          <t>Công nghệ thông tin</t>
        </is>
      </c>
      <c r="E51" t="inlineStr">
        <is>
          <t>Thạch Hòa</t>
        </is>
      </c>
      <c r="F51" t="inlineStr">
        <is>
          <t>Phòng trọ cơ bản</t>
        </is>
      </c>
      <c r="G51" t="n">
        <v>4.1</v>
      </c>
      <c r="H51" t="n">
        <v>1.9</v>
      </c>
      <c r="I51" t="n">
        <v>2</v>
      </c>
      <c r="J51" t="inlineStr">
        <is>
          <t>Xe máy</t>
        </is>
      </c>
    </row>
    <row r="52">
      <c r="A52" t="inlineStr">
        <is>
          <t>Hoàng Thị Khoa</t>
        </is>
      </c>
      <c r="B52" t="inlineStr">
        <is>
          <t>Nữ</t>
        </is>
      </c>
      <c r="C52" t="inlineStr">
        <is>
          <t>HC218975</t>
        </is>
      </c>
      <c r="D52" t="inlineStr">
        <is>
          <t>Thiết kế mỹ thuật số</t>
        </is>
      </c>
      <c r="E52" t="inlineStr">
        <is>
          <t>Hòa Lạc</t>
        </is>
      </c>
      <c r="F52" t="inlineStr">
        <is>
          <t>Phòng khép kín</t>
        </is>
      </c>
      <c r="G52" t="n">
        <v>6.8</v>
      </c>
      <c r="H52" t="n">
        <v>1.6</v>
      </c>
      <c r="I52" t="n">
        <v>1</v>
      </c>
      <c r="J52" t="inlineStr">
        <is>
          <t>Xe buýt</t>
        </is>
      </c>
    </row>
    <row r="53">
      <c r="A53" t="inlineStr">
        <is>
          <t>Bùi Văn Long</t>
        </is>
      </c>
      <c r="B53" t="inlineStr">
        <is>
          <t>Nam</t>
        </is>
      </c>
      <c r="C53" t="inlineStr">
        <is>
          <t>HA181029</t>
        </is>
      </c>
      <c r="D53" t="inlineStr">
        <is>
          <t>Quản trị kinh doanh</t>
        </is>
      </c>
      <c r="E53" t="inlineStr">
        <is>
          <t>Tân Xã</t>
        </is>
      </c>
      <c r="F53" t="inlineStr">
        <is>
          <t>Phòng trọ cơ bản</t>
        </is>
      </c>
      <c r="G53" t="n">
        <v>4.2</v>
      </c>
      <c r="H53" t="n">
        <v>2.1</v>
      </c>
      <c r="I53" t="n">
        <v>2</v>
      </c>
      <c r="J53" t="inlineStr">
        <is>
          <t>Xe máy</t>
        </is>
      </c>
    </row>
    <row r="54">
      <c r="A54" t="inlineStr">
        <is>
          <t>Nguyễn Thị Mỹ</t>
        </is>
      </c>
      <c r="B54" t="inlineStr">
        <is>
          <t>Nữ</t>
        </is>
      </c>
      <c r="C54" t="inlineStr">
        <is>
          <t>HE209247</t>
        </is>
      </c>
      <c r="D54" t="inlineStr">
        <is>
          <t>Công nghệ thông tin</t>
        </is>
      </c>
      <c r="E54" t="inlineStr">
        <is>
          <t>Dom D</t>
        </is>
      </c>
      <c r="F54" t="inlineStr">
        <is>
          <t>Ký túc xá</t>
        </is>
      </c>
      <c r="G54" t="n">
        <v>0.7</v>
      </c>
      <c r="H54" t="n">
        <v>1.1</v>
      </c>
      <c r="I54" t="n">
        <v>4</v>
      </c>
      <c r="J54" t="inlineStr">
        <is>
          <t>Đi bộ</t>
        </is>
      </c>
    </row>
    <row r="55">
      <c r="A55" t="inlineStr">
        <is>
          <t>Lê Văn Nam</t>
        </is>
      </c>
      <c r="B55" t="inlineStr">
        <is>
          <t>Nam</t>
        </is>
      </c>
      <c r="C55" t="inlineStr">
        <is>
          <t>HA180977</t>
        </is>
      </c>
      <c r="D55" t="inlineStr">
        <is>
          <t>Quản trị kinh doanh</t>
        </is>
      </c>
      <c r="E55" t="inlineStr">
        <is>
          <t>Thạch Hòa</t>
        </is>
      </c>
      <c r="F55" t="inlineStr">
        <is>
          <t>Phòng trọ cơ bản</t>
        </is>
      </c>
      <c r="G55" t="n">
        <v>3.1</v>
      </c>
      <c r="H55" t="n">
        <v>2</v>
      </c>
      <c r="I55" t="n">
        <v>1</v>
      </c>
      <c r="J55" t="inlineStr">
        <is>
          <t>Xe máy</t>
        </is>
      </c>
    </row>
    <row r="56">
      <c r="A56" t="inlineStr">
        <is>
          <t>Phan Thị Oanh</t>
        </is>
      </c>
      <c r="B56" t="inlineStr">
        <is>
          <t>Nữ</t>
        </is>
      </c>
      <c r="C56" t="inlineStr">
        <is>
          <t>HA213375</t>
        </is>
      </c>
      <c r="D56" t="inlineStr">
        <is>
          <t>Quản trị kinh doanh</t>
        </is>
      </c>
      <c r="E56" t="inlineStr">
        <is>
          <t>Hòa Lạc</t>
        </is>
      </c>
      <c r="F56" t="inlineStr">
        <is>
          <t>Phòng khép kín</t>
        </is>
      </c>
      <c r="G56" t="n">
        <v>5.3</v>
      </c>
      <c r="H56" t="n">
        <v>1.9</v>
      </c>
      <c r="I56" t="n">
        <v>1</v>
      </c>
      <c r="J56" t="inlineStr">
        <is>
          <t>Xe buýt</t>
        </is>
      </c>
    </row>
    <row r="57">
      <c r="A57" t="inlineStr">
        <is>
          <t>Trần Văn Phát</t>
        </is>
      </c>
      <c r="B57" t="inlineStr">
        <is>
          <t>Nam</t>
        </is>
      </c>
      <c r="C57" t="inlineStr">
        <is>
          <t>HS218134</t>
        </is>
      </c>
      <c r="D57" t="inlineStr">
        <is>
          <t>An toàn thông tin</t>
        </is>
      </c>
      <c r="E57" t="inlineStr">
        <is>
          <t>Tân Xã</t>
        </is>
      </c>
      <c r="F57" t="inlineStr">
        <is>
          <t>Phòng trọ cơ bản</t>
        </is>
      </c>
      <c r="G57" t="n">
        <v>2.4</v>
      </c>
      <c r="H57" t="n">
        <v>2.3</v>
      </c>
      <c r="I57" t="n">
        <v>1</v>
      </c>
      <c r="J57" t="inlineStr">
        <is>
          <t>Xe máy</t>
        </is>
      </c>
    </row>
    <row r="58">
      <c r="A58" t="inlineStr">
        <is>
          <t>Nguyễn Thị Quốc</t>
        </is>
      </c>
      <c r="B58" t="inlineStr">
        <is>
          <t>Nữ</t>
        </is>
      </c>
      <c r="C58" t="inlineStr">
        <is>
          <t>HE208712</t>
        </is>
      </c>
      <c r="D58" t="inlineStr">
        <is>
          <t>Công nghệ thông tin</t>
        </is>
      </c>
      <c r="E58" t="inlineStr">
        <is>
          <t>Dom A</t>
        </is>
      </c>
      <c r="F58" t="inlineStr">
        <is>
          <t>Ký túc xá</t>
        </is>
      </c>
      <c r="G58" t="n">
        <v>0.1</v>
      </c>
      <c r="H58" t="n">
        <v>1.1</v>
      </c>
      <c r="I58" t="n">
        <v>4</v>
      </c>
      <c r="J58" t="inlineStr">
        <is>
          <t>Đi bộ</t>
        </is>
      </c>
    </row>
    <row r="59">
      <c r="A59" t="inlineStr">
        <is>
          <t>Lê Văn Sáng</t>
        </is>
      </c>
      <c r="B59" t="inlineStr">
        <is>
          <t>Nam</t>
        </is>
      </c>
      <c r="C59" t="inlineStr">
        <is>
          <t>HS187006</t>
        </is>
      </c>
      <c r="D59" t="inlineStr">
        <is>
          <t>An toàn thông tin</t>
        </is>
      </c>
      <c r="E59" t="inlineStr">
        <is>
          <t>Thạch Hòa</t>
        </is>
      </c>
      <c r="F59" t="inlineStr">
        <is>
          <t>Phòng trọ cơ bản</t>
        </is>
      </c>
      <c r="G59" t="n">
        <v>2.7</v>
      </c>
      <c r="H59" t="n">
        <v>2.3</v>
      </c>
      <c r="I59" t="n">
        <v>1</v>
      </c>
      <c r="J59" t="inlineStr">
        <is>
          <t>Xe máy</t>
        </is>
      </c>
    </row>
    <row r="60">
      <c r="A60" t="inlineStr">
        <is>
          <t>Phùng Thị Tâm</t>
        </is>
      </c>
      <c r="B60" t="inlineStr">
        <is>
          <t>Nữ</t>
        </is>
      </c>
      <c r="C60" t="inlineStr">
        <is>
          <t>HA195147</t>
        </is>
      </c>
      <c r="D60" t="inlineStr">
        <is>
          <t>Quản trị kinh doanh</t>
        </is>
      </c>
      <c r="E60" t="inlineStr">
        <is>
          <t>Hòa Lạc</t>
        </is>
      </c>
      <c r="F60" t="inlineStr">
        <is>
          <t>Phòng khép kín</t>
        </is>
      </c>
      <c r="G60" t="n">
        <v>7.2</v>
      </c>
      <c r="H60" t="n">
        <v>1.4</v>
      </c>
      <c r="I60" t="n">
        <v>1</v>
      </c>
      <c r="J60" t="inlineStr">
        <is>
          <t>Xe buýt</t>
        </is>
      </c>
    </row>
    <row r="61">
      <c r="A61" t="inlineStr">
        <is>
          <t>Đoàn Văn Uy</t>
        </is>
      </c>
      <c r="B61" t="inlineStr">
        <is>
          <t>Nam</t>
        </is>
      </c>
      <c r="C61" t="inlineStr">
        <is>
          <t>HS207629</t>
        </is>
      </c>
      <c r="D61" t="inlineStr">
        <is>
          <t>An toàn thông tin</t>
        </is>
      </c>
      <c r="E61" t="inlineStr">
        <is>
          <t>Tân Xã</t>
        </is>
      </c>
      <c r="F61" t="inlineStr">
        <is>
          <t>Phòng trọ cơ bản</t>
        </is>
      </c>
      <c r="G61" t="n">
        <v>3.2</v>
      </c>
      <c r="H61" t="n">
        <v>2.2</v>
      </c>
      <c r="I61" t="n">
        <v>1</v>
      </c>
      <c r="J61" t="inlineStr">
        <is>
          <t>Xe máy</t>
        </is>
      </c>
    </row>
    <row r="62">
      <c r="A62" t="inlineStr">
        <is>
          <t>Nguyễn Thị Vui</t>
        </is>
      </c>
      <c r="B62" t="inlineStr">
        <is>
          <t>Nữ</t>
        </is>
      </c>
      <c r="C62" t="inlineStr">
        <is>
          <t>HS189594</t>
        </is>
      </c>
      <c r="D62" t="inlineStr">
        <is>
          <t>An toàn thông tin</t>
        </is>
      </c>
      <c r="E62" t="inlineStr">
        <is>
          <t>Dom B</t>
        </is>
      </c>
      <c r="F62" t="inlineStr">
        <is>
          <t>Ký túc xá</t>
        </is>
      </c>
      <c r="G62" t="n">
        <v>0.4</v>
      </c>
      <c r="H62" t="n">
        <v>1.1</v>
      </c>
      <c r="I62" t="n">
        <v>4</v>
      </c>
      <c r="J62" t="inlineStr">
        <is>
          <t>Đi bộ</t>
        </is>
      </c>
    </row>
    <row r="63">
      <c r="A63" t="inlineStr">
        <is>
          <t>Trần Văn Thành</t>
        </is>
      </c>
      <c r="B63" t="inlineStr">
        <is>
          <t>Nam</t>
        </is>
      </c>
      <c r="C63" t="inlineStr">
        <is>
          <t>HA217425</t>
        </is>
      </c>
      <c r="D63" t="inlineStr">
        <is>
          <t>Quản trị kinh doanh</t>
        </is>
      </c>
      <c r="E63" t="inlineStr">
        <is>
          <t>Thạch Hòa</t>
        </is>
      </c>
      <c r="F63" t="inlineStr">
        <is>
          <t>Chung cư mini</t>
        </is>
      </c>
      <c r="G63" t="n">
        <v>3.9</v>
      </c>
      <c r="H63" t="n">
        <v>2.6</v>
      </c>
      <c r="I63" t="n">
        <v>2</v>
      </c>
      <c r="J63" t="inlineStr">
        <is>
          <t>Xe máy</t>
        </is>
      </c>
    </row>
    <row r="64">
      <c r="A64" t="inlineStr">
        <is>
          <t>Lê Thị Duyên</t>
        </is>
      </c>
      <c r="B64" t="inlineStr">
        <is>
          <t>Nữ</t>
        </is>
      </c>
      <c r="C64" t="inlineStr">
        <is>
          <t>HE185925</t>
        </is>
      </c>
      <c r="D64" t="inlineStr">
        <is>
          <t>Công nghệ thông tin</t>
        </is>
      </c>
      <c r="E64" t="inlineStr">
        <is>
          <t>Hòa Lạc</t>
        </is>
      </c>
      <c r="F64" t="inlineStr">
        <is>
          <t>Phòng khép kín</t>
        </is>
      </c>
      <c r="G64" t="n">
        <v>4.9</v>
      </c>
      <c r="H64" t="n">
        <v>2</v>
      </c>
      <c r="I64" t="n">
        <v>1</v>
      </c>
      <c r="J64" t="inlineStr">
        <is>
          <t>Xe buýt</t>
        </is>
      </c>
    </row>
    <row r="65">
      <c r="A65" t="inlineStr">
        <is>
          <t>Phạm Văn An</t>
        </is>
      </c>
      <c r="B65" t="inlineStr">
        <is>
          <t>Nam</t>
        </is>
      </c>
      <c r="C65" t="inlineStr">
        <is>
          <t>HA204912</t>
        </is>
      </c>
      <c r="D65" t="inlineStr">
        <is>
          <t>Quản trị kinh doanh</t>
        </is>
      </c>
      <c r="E65" t="inlineStr">
        <is>
          <t>Tân Xã</t>
        </is>
      </c>
      <c r="F65" t="inlineStr">
        <is>
          <t>Phòng trọ cơ bản</t>
        </is>
      </c>
      <c r="G65" t="n">
        <v>3.8</v>
      </c>
      <c r="H65" t="n">
        <v>1.9</v>
      </c>
      <c r="I65" t="n">
        <v>2</v>
      </c>
      <c r="J65" t="inlineStr">
        <is>
          <t>Xe máy</t>
        </is>
      </c>
    </row>
    <row r="66">
      <c r="A66" t="inlineStr">
        <is>
          <t>Vũ Thị Nhung</t>
        </is>
      </c>
      <c r="B66" t="inlineStr">
        <is>
          <t>Nữ</t>
        </is>
      </c>
      <c r="C66" t="inlineStr">
        <is>
          <t>HS184071</t>
        </is>
      </c>
      <c r="D66" t="inlineStr">
        <is>
          <t>An toàn thông tin</t>
        </is>
      </c>
      <c r="E66" t="inlineStr">
        <is>
          <t>Dom C</t>
        </is>
      </c>
      <c r="F66" t="inlineStr">
        <is>
          <t>Ký túc xá</t>
        </is>
      </c>
      <c r="G66" t="n">
        <v>0.5</v>
      </c>
      <c r="H66" t="n">
        <v>1.1</v>
      </c>
      <c r="I66" t="n">
        <v>4</v>
      </c>
      <c r="J66" t="inlineStr">
        <is>
          <t>Đi bộ</t>
        </is>
      </c>
    </row>
    <row r="67">
      <c r="A67" t="inlineStr">
        <is>
          <t>Hoàng Văn Chung</t>
        </is>
      </c>
      <c r="B67" t="inlineStr">
        <is>
          <t>Nam</t>
        </is>
      </c>
      <c r="C67" t="inlineStr">
        <is>
          <t>HS182946</t>
        </is>
      </c>
      <c r="D67" t="inlineStr">
        <is>
          <t>An toàn thông tin</t>
        </is>
      </c>
      <c r="E67" t="inlineStr">
        <is>
          <t>Thạch Hòa</t>
        </is>
      </c>
      <c r="F67" t="inlineStr">
        <is>
          <t>Chung cư mini</t>
        </is>
      </c>
      <c r="G67" t="n">
        <v>3.4</v>
      </c>
      <c r="H67" t="n">
        <v>2.7</v>
      </c>
      <c r="I67" t="n">
        <v>2</v>
      </c>
      <c r="J67" t="inlineStr">
        <is>
          <t>Xe máy</t>
        </is>
      </c>
    </row>
    <row r="68">
      <c r="A68" t="inlineStr">
        <is>
          <t>Bùi Thị Đào</t>
        </is>
      </c>
      <c r="B68" t="inlineStr">
        <is>
          <t>Nữ</t>
        </is>
      </c>
      <c r="C68" t="inlineStr">
        <is>
          <t>HE214000</t>
        </is>
      </c>
      <c r="D68" t="inlineStr">
        <is>
          <t>Công nghệ thông tin</t>
        </is>
      </c>
      <c r="E68" t="inlineStr">
        <is>
          <t>Hòa Lạc</t>
        </is>
      </c>
      <c r="F68" t="inlineStr">
        <is>
          <t>Phòng khép kín</t>
        </is>
      </c>
      <c r="G68" t="n">
        <v>6.4</v>
      </c>
      <c r="H68" t="n">
        <v>1.7</v>
      </c>
      <c r="I68" t="n">
        <v>1</v>
      </c>
      <c r="J68" t="inlineStr">
        <is>
          <t>Xe buýt</t>
        </is>
      </c>
    </row>
    <row r="69">
      <c r="A69" t="inlineStr">
        <is>
          <t>Nguyễn Văn Tuấn</t>
        </is>
      </c>
      <c r="B69" t="inlineStr">
        <is>
          <t>Nam</t>
        </is>
      </c>
      <c r="C69" t="inlineStr">
        <is>
          <t>HE191342</t>
        </is>
      </c>
      <c r="D69" t="inlineStr">
        <is>
          <t>Công nghệ thông tin</t>
        </is>
      </c>
      <c r="E69" t="inlineStr">
        <is>
          <t>Tân Xã</t>
        </is>
      </c>
      <c r="F69" t="inlineStr">
        <is>
          <t>Phòng trọ cơ bản</t>
        </is>
      </c>
      <c r="G69" t="n">
        <v>3</v>
      </c>
      <c r="H69" t="n">
        <v>2.5</v>
      </c>
      <c r="I69" t="n">
        <v>1</v>
      </c>
      <c r="J69" t="inlineStr">
        <is>
          <t>Xe máy</t>
        </is>
      </c>
    </row>
    <row r="70">
      <c r="A70" t="inlineStr">
        <is>
          <t>Lê Thị Giáp</t>
        </is>
      </c>
      <c r="B70" t="inlineStr">
        <is>
          <t>Nữ</t>
        </is>
      </c>
      <c r="C70" t="inlineStr">
        <is>
          <t>HS219412</t>
        </is>
      </c>
      <c r="D70" t="inlineStr">
        <is>
          <t>An toàn thông tin</t>
        </is>
      </c>
      <c r="E70" t="inlineStr">
        <is>
          <t>Dom D</t>
        </is>
      </c>
      <c r="F70" t="inlineStr">
        <is>
          <t>Ký túc xá</t>
        </is>
      </c>
      <c r="G70" t="n">
        <v>0.2</v>
      </c>
      <c r="H70" t="n">
        <v>1.1</v>
      </c>
      <c r="I70" t="n">
        <v>4</v>
      </c>
      <c r="J70" t="inlineStr">
        <is>
          <t>Đi bộ</t>
        </is>
      </c>
    </row>
    <row r="71">
      <c r="A71" t="inlineStr">
        <is>
          <t>Trần Văn Hương</t>
        </is>
      </c>
      <c r="B71" t="inlineStr">
        <is>
          <t>Nam</t>
        </is>
      </c>
      <c r="C71" t="inlineStr">
        <is>
          <t>HS204920</t>
        </is>
      </c>
      <c r="D71" t="inlineStr">
        <is>
          <t>An toàn thông tin</t>
        </is>
      </c>
      <c r="E71" t="inlineStr">
        <is>
          <t>Thạch Hòa</t>
        </is>
      </c>
      <c r="F71" t="inlineStr">
        <is>
          <t>Phòng trọ cơ bản</t>
        </is>
      </c>
      <c r="G71" t="n">
        <v>4.6</v>
      </c>
      <c r="H71" t="n">
        <v>1.8</v>
      </c>
      <c r="I71" t="n">
        <v>2</v>
      </c>
      <c r="J71" t="inlineStr">
        <is>
          <t>Xe máy</t>
        </is>
      </c>
    </row>
    <row r="72">
      <c r="A72" t="inlineStr">
        <is>
          <t>Phạm Thị Kiều</t>
        </is>
      </c>
      <c r="B72" t="inlineStr">
        <is>
          <t>Nữ</t>
        </is>
      </c>
      <c r="C72" t="inlineStr">
        <is>
          <t>HC198605</t>
        </is>
      </c>
      <c r="D72" t="inlineStr">
        <is>
          <t>Thiết kế mỹ thuật số</t>
        </is>
      </c>
      <c r="E72" t="inlineStr">
        <is>
          <t>Hòa Lạc</t>
        </is>
      </c>
      <c r="F72" t="inlineStr">
        <is>
          <t>Phòng khép kín</t>
        </is>
      </c>
      <c r="G72" t="n">
        <v>5.9</v>
      </c>
      <c r="H72" t="n">
        <v>1.7</v>
      </c>
      <c r="I72" t="n">
        <v>2</v>
      </c>
      <c r="J72" t="inlineStr">
        <is>
          <t>Xe buýt</t>
        </is>
      </c>
    </row>
    <row r="73">
      <c r="A73" t="inlineStr">
        <is>
          <t>Vũ Văn Lộc</t>
        </is>
      </c>
      <c r="B73" t="inlineStr">
        <is>
          <t>Nam</t>
        </is>
      </c>
      <c r="C73" t="inlineStr">
        <is>
          <t>HS208112</t>
        </is>
      </c>
      <c r="D73" t="inlineStr">
        <is>
          <t>An toàn thông tin</t>
        </is>
      </c>
      <c r="E73" t="inlineStr">
        <is>
          <t>Tân Xã</t>
        </is>
      </c>
      <c r="F73" t="inlineStr">
        <is>
          <t>Phòng trọ cơ bản</t>
        </is>
      </c>
      <c r="G73" t="n">
        <v>4.1</v>
      </c>
      <c r="H73" t="n">
        <v>2</v>
      </c>
      <c r="I73" t="n">
        <v>2</v>
      </c>
      <c r="J73" t="inlineStr">
        <is>
          <t>Xe máy</t>
        </is>
      </c>
    </row>
    <row r="74">
      <c r="A74" t="inlineStr">
        <is>
          <t>Hoàng Thị Mai</t>
        </is>
      </c>
      <c r="B74" t="inlineStr">
        <is>
          <t>Nữ</t>
        </is>
      </c>
      <c r="C74" t="inlineStr">
        <is>
          <t>HC205628</t>
        </is>
      </c>
      <c r="D74" t="inlineStr">
        <is>
          <t>Thiết kế mỹ thuật số</t>
        </is>
      </c>
      <c r="E74" t="inlineStr">
        <is>
          <t>Dom A</t>
        </is>
      </c>
      <c r="F74" t="inlineStr">
        <is>
          <t>Ký túc xá</t>
        </is>
      </c>
      <c r="G74" t="n">
        <v>0.3</v>
      </c>
      <c r="H74" t="n">
        <v>1.1</v>
      </c>
      <c r="I74" t="n">
        <v>4</v>
      </c>
      <c r="J74" t="inlineStr">
        <is>
          <t>Đi bộ</t>
        </is>
      </c>
    </row>
    <row r="75">
      <c r="A75" t="inlineStr">
        <is>
          <t>Bùi Văn Ngọc</t>
        </is>
      </c>
      <c r="B75" t="inlineStr">
        <is>
          <t>Nam</t>
        </is>
      </c>
      <c r="C75" t="inlineStr">
        <is>
          <t>HC217354</t>
        </is>
      </c>
      <c r="D75" t="inlineStr">
        <is>
          <t>Thiết kế mỹ thuật số</t>
        </is>
      </c>
      <c r="E75" t="inlineStr">
        <is>
          <t>Thạch Hòa</t>
        </is>
      </c>
      <c r="F75" t="inlineStr">
        <is>
          <t>Phòng trọ cơ bản</t>
        </is>
      </c>
      <c r="G75" t="n">
        <v>2.6</v>
      </c>
      <c r="H75" t="n">
        <v>2.2</v>
      </c>
      <c r="I75" t="n">
        <v>1</v>
      </c>
      <c r="J75" t="inlineStr">
        <is>
          <t>Xe máy</t>
        </is>
      </c>
    </row>
    <row r="76">
      <c r="A76" t="inlineStr">
        <is>
          <t>Nguyễn Thị Ánh</t>
        </is>
      </c>
      <c r="B76" t="inlineStr">
        <is>
          <t>Nữ</t>
        </is>
      </c>
      <c r="C76" t="inlineStr">
        <is>
          <t>HE194718</t>
        </is>
      </c>
      <c r="D76" t="inlineStr">
        <is>
          <t>Công nghệ thông tin</t>
        </is>
      </c>
      <c r="E76" t="inlineStr">
        <is>
          <t>Hòa Lạc</t>
        </is>
      </c>
      <c r="F76" t="inlineStr">
        <is>
          <t>Phòng khép kín</t>
        </is>
      </c>
      <c r="G76" t="n">
        <v>7.8</v>
      </c>
      <c r="H76" t="n">
        <v>1.5</v>
      </c>
      <c r="I76" t="n">
        <v>2</v>
      </c>
      <c r="J76" t="inlineStr">
        <is>
          <t>Xe buýt</t>
        </is>
      </c>
    </row>
    <row r="77">
      <c r="A77" t="inlineStr">
        <is>
          <t>Lê Văn Phú</t>
        </is>
      </c>
      <c r="B77" t="inlineStr">
        <is>
          <t>Nam</t>
        </is>
      </c>
      <c r="C77" t="inlineStr">
        <is>
          <t>HS189978</t>
        </is>
      </c>
      <c r="D77" t="inlineStr">
        <is>
          <t>An toàn thông tin</t>
        </is>
      </c>
      <c r="E77" t="inlineStr">
        <is>
          <t>Tân Xã</t>
        </is>
      </c>
      <c r="F77" t="inlineStr">
        <is>
          <t>Phòng trọ cơ bản</t>
        </is>
      </c>
      <c r="G77" t="n">
        <v>2.5</v>
      </c>
      <c r="H77" t="n">
        <v>2.3</v>
      </c>
      <c r="I77" t="n">
        <v>1</v>
      </c>
      <c r="J77" t="inlineStr">
        <is>
          <t>Xe máy</t>
        </is>
      </c>
    </row>
    <row r="78">
      <c r="A78" t="inlineStr">
        <is>
          <t>Phan Thị Quý</t>
        </is>
      </c>
      <c r="B78" t="inlineStr">
        <is>
          <t>Nữ</t>
        </is>
      </c>
      <c r="C78" t="inlineStr">
        <is>
          <t>HA181200</t>
        </is>
      </c>
      <c r="D78" t="inlineStr">
        <is>
          <t>Quản trị kinh doanh</t>
        </is>
      </c>
      <c r="E78" t="inlineStr">
        <is>
          <t>Dom B</t>
        </is>
      </c>
      <c r="F78" t="inlineStr">
        <is>
          <t>Ký túc xá</t>
        </is>
      </c>
      <c r="G78" t="n">
        <v>0.6</v>
      </c>
      <c r="H78" t="n">
        <v>1.1</v>
      </c>
      <c r="I78" t="n">
        <v>4</v>
      </c>
      <c r="J78" t="inlineStr">
        <is>
          <t>Đi bộ</t>
        </is>
      </c>
    </row>
    <row r="79">
      <c r="A79" t="inlineStr">
        <is>
          <t>Trần Văn Khang</t>
        </is>
      </c>
      <c r="B79" t="inlineStr">
        <is>
          <t>Nam</t>
        </is>
      </c>
      <c r="C79" t="inlineStr">
        <is>
          <t>HS191935</t>
        </is>
      </c>
      <c r="D79" t="inlineStr">
        <is>
          <t>An toàn thông tin</t>
        </is>
      </c>
      <c r="E79" t="inlineStr">
        <is>
          <t>Thạch Hòa</t>
        </is>
      </c>
      <c r="F79" t="inlineStr">
        <is>
          <t>Chung cư mini</t>
        </is>
      </c>
      <c r="G79" t="n">
        <v>3.7</v>
      </c>
      <c r="H79" t="n">
        <v>2.7</v>
      </c>
      <c r="I79" t="n">
        <v>2</v>
      </c>
      <c r="J79" t="inlineStr">
        <is>
          <t>Xe máy</t>
        </is>
      </c>
    </row>
    <row r="80">
      <c r="A80" t="inlineStr">
        <is>
          <t>Nguyễn Thị Thu</t>
        </is>
      </c>
      <c r="B80" t="inlineStr">
        <is>
          <t>Nữ</t>
        </is>
      </c>
      <c r="C80" t="inlineStr">
        <is>
          <t>HE188388</t>
        </is>
      </c>
      <c r="D80" t="inlineStr">
        <is>
          <t>Công nghệ thông tin</t>
        </is>
      </c>
      <c r="E80" t="inlineStr">
        <is>
          <t>Hòa Lạc</t>
        </is>
      </c>
      <c r="F80" t="inlineStr">
        <is>
          <t>Phòng khép kín</t>
        </is>
      </c>
      <c r="G80" t="n">
        <v>5.1</v>
      </c>
      <c r="H80" t="n">
        <v>1.9</v>
      </c>
      <c r="I80" t="n">
        <v>1</v>
      </c>
      <c r="J80" t="inlineStr">
        <is>
          <t>Xe buýt</t>
        </is>
      </c>
    </row>
    <row r="81">
      <c r="A81" t="inlineStr">
        <is>
          <t>Lê Văn Tín</t>
        </is>
      </c>
      <c r="B81" t="inlineStr">
        <is>
          <t>Nam</t>
        </is>
      </c>
      <c r="C81" t="inlineStr">
        <is>
          <t>HE196851</t>
        </is>
      </c>
      <c r="D81" t="inlineStr">
        <is>
          <t>Công nghệ thông tin</t>
        </is>
      </c>
      <c r="E81" t="inlineStr">
        <is>
          <t>Tân Xã</t>
        </is>
      </c>
      <c r="F81" t="inlineStr">
        <is>
          <t>Phòng trọ cơ bản</t>
        </is>
      </c>
      <c r="G81" t="n">
        <v>3.5</v>
      </c>
      <c r="H81" t="n">
        <v>2.2</v>
      </c>
      <c r="I81" t="n">
        <v>1</v>
      </c>
      <c r="J81" t="inlineStr">
        <is>
          <t>Xe máy</t>
        </is>
      </c>
    </row>
    <row r="82">
      <c r="A82" t="inlineStr">
        <is>
          <t>Phùng Thị Uyên</t>
        </is>
      </c>
      <c r="B82" t="inlineStr">
        <is>
          <t>Nữ</t>
        </is>
      </c>
      <c r="C82" t="inlineStr">
        <is>
          <t>HE182703</t>
        </is>
      </c>
      <c r="D82" t="inlineStr">
        <is>
          <t>Công nghệ thông tin</t>
        </is>
      </c>
      <c r="E82" t="inlineStr">
        <is>
          <t>Dom C</t>
        </is>
      </c>
      <c r="F82" t="inlineStr">
        <is>
          <t>Ký túc xá</t>
        </is>
      </c>
      <c r="G82" t="n">
        <v>0.1</v>
      </c>
      <c r="H82" t="n">
        <v>1.1</v>
      </c>
      <c r="I82" t="n">
        <v>4</v>
      </c>
      <c r="J82" t="inlineStr">
        <is>
          <t>Đi bộ</t>
        </is>
      </c>
    </row>
    <row r="83">
      <c r="A83" t="inlineStr">
        <is>
          <t>Đoàn Văn Vinh</t>
        </is>
      </c>
      <c r="B83" t="inlineStr">
        <is>
          <t>Nam</t>
        </is>
      </c>
      <c r="C83" t="inlineStr">
        <is>
          <t>HA185605</t>
        </is>
      </c>
      <c r="D83" t="inlineStr">
        <is>
          <t>Quản trị kinh doanh</t>
        </is>
      </c>
      <c r="E83" t="inlineStr">
        <is>
          <t>Thạch Hòa</t>
        </is>
      </c>
      <c r="F83" t="inlineStr">
        <is>
          <t>Chung cư mini</t>
        </is>
      </c>
      <c r="G83" t="n">
        <v>4.3</v>
      </c>
      <c r="H83" t="n">
        <v>2.5</v>
      </c>
      <c r="I83" t="n">
        <v>2</v>
      </c>
      <c r="J83" t="inlineStr">
        <is>
          <t>Xe máy</t>
        </is>
      </c>
    </row>
    <row r="84">
      <c r="A84" t="inlineStr">
        <is>
          <t>Nguyễn Thị Xuân</t>
        </is>
      </c>
      <c r="B84" t="inlineStr">
        <is>
          <t>Nữ</t>
        </is>
      </c>
      <c r="C84" t="inlineStr">
        <is>
          <t>HS202491</t>
        </is>
      </c>
      <c r="D84" t="inlineStr">
        <is>
          <t>An toàn thông tin</t>
        </is>
      </c>
      <c r="E84" t="inlineStr">
        <is>
          <t>Hòa Lạc</t>
        </is>
      </c>
      <c r="F84" t="inlineStr">
        <is>
          <t>Phòng khép kín</t>
        </is>
      </c>
      <c r="G84" t="n">
        <v>8.199999999999999</v>
      </c>
      <c r="H84" t="n">
        <v>1.3</v>
      </c>
      <c r="I84" t="n">
        <v>2</v>
      </c>
      <c r="J84" t="inlineStr">
        <is>
          <t>Xe buýt</t>
        </is>
      </c>
    </row>
    <row r="85">
      <c r="A85" t="inlineStr">
        <is>
          <t>Trần Văn Yến</t>
        </is>
      </c>
      <c r="B85" t="inlineStr">
        <is>
          <t>Nam</t>
        </is>
      </c>
      <c r="C85" t="inlineStr">
        <is>
          <t>HC198012</t>
        </is>
      </c>
      <c r="D85" t="inlineStr">
        <is>
          <t>Thiết kế mỹ thuật số</t>
        </is>
      </c>
      <c r="E85" t="inlineStr">
        <is>
          <t>Tân Xã</t>
        </is>
      </c>
      <c r="F85" t="inlineStr">
        <is>
          <t>Chung cư mini/Studio</t>
        </is>
      </c>
      <c r="G85" t="n">
        <v>2.1</v>
      </c>
      <c r="H85" t="n">
        <v>2.7</v>
      </c>
      <c r="I85" t="n">
        <v>3</v>
      </c>
      <c r="J85" t="inlineStr">
        <is>
          <t>Xe máy</t>
        </is>
      </c>
    </row>
    <row r="86">
      <c r="A86" t="inlineStr">
        <is>
          <t>Lê Thị An</t>
        </is>
      </c>
      <c r="B86" t="inlineStr">
        <is>
          <t>Nữ</t>
        </is>
      </c>
      <c r="C86" t="inlineStr">
        <is>
          <t>HS216910</t>
        </is>
      </c>
      <c r="D86" t="inlineStr">
        <is>
          <t>An toàn thông tin</t>
        </is>
      </c>
      <c r="E86" t="inlineStr">
        <is>
          <t>Dom D</t>
        </is>
      </c>
      <c r="F86" t="inlineStr">
        <is>
          <t>Ký túc xá</t>
        </is>
      </c>
      <c r="G86" t="n">
        <v>0.4</v>
      </c>
      <c r="H86" t="n">
        <v>1.1</v>
      </c>
      <c r="I86" t="n">
        <v>4</v>
      </c>
      <c r="J86" t="inlineStr">
        <is>
          <t>Đi bộ</t>
        </is>
      </c>
    </row>
    <row r="87">
      <c r="A87" t="inlineStr">
        <is>
          <t>Phạm Văn Bằng</t>
        </is>
      </c>
      <c r="B87" t="inlineStr">
        <is>
          <t>Nam</t>
        </is>
      </c>
      <c r="C87" t="inlineStr">
        <is>
          <t>HS210643</t>
        </is>
      </c>
      <c r="D87" t="inlineStr">
        <is>
          <t>An toàn thông tin</t>
        </is>
      </c>
      <c r="E87" t="inlineStr">
        <is>
          <t>Thạch Hòa</t>
        </is>
      </c>
      <c r="F87" t="inlineStr">
        <is>
          <t>Phòng trọ cơ bản</t>
        </is>
      </c>
      <c r="G87" t="n">
        <v>3</v>
      </c>
      <c r="H87" t="n">
        <v>2.1</v>
      </c>
      <c r="I87" t="n">
        <v>1</v>
      </c>
      <c r="J87" t="inlineStr">
        <is>
          <t>Xe máy</t>
        </is>
      </c>
    </row>
    <row r="88">
      <c r="A88" t="inlineStr">
        <is>
          <t>Vũ Thị Cảnh</t>
        </is>
      </c>
      <c r="B88" t="inlineStr">
        <is>
          <t>Nữ</t>
        </is>
      </c>
      <c r="C88" t="inlineStr">
        <is>
          <t>HC191272</t>
        </is>
      </c>
      <c r="D88" t="inlineStr">
        <is>
          <t>Thiết kế mỹ thuật số</t>
        </is>
      </c>
      <c r="E88" t="inlineStr">
        <is>
          <t>Hòa Lạc</t>
        </is>
      </c>
      <c r="F88" t="inlineStr">
        <is>
          <t>Phòng khép kín</t>
        </is>
      </c>
      <c r="G88" t="n">
        <v>6.1</v>
      </c>
      <c r="H88" t="n">
        <v>1.7</v>
      </c>
      <c r="I88" t="n">
        <v>1</v>
      </c>
      <c r="J88" t="inlineStr">
        <is>
          <t>Xe buýt</t>
        </is>
      </c>
    </row>
    <row r="89">
      <c r="A89" t="inlineStr">
        <is>
          <t>Hoàng Văn Đình</t>
        </is>
      </c>
      <c r="B89" t="inlineStr">
        <is>
          <t>Nam</t>
        </is>
      </c>
      <c r="C89" t="inlineStr">
        <is>
          <t>HE189144</t>
        </is>
      </c>
      <c r="D89" t="inlineStr">
        <is>
          <t>Công nghệ thông tin</t>
        </is>
      </c>
      <c r="E89" t="inlineStr">
        <is>
          <t>Tân Xã</t>
        </is>
      </c>
      <c r="F89" t="inlineStr">
        <is>
          <t>Phòng trọ cơ bản</t>
        </is>
      </c>
      <c r="G89" t="n">
        <v>4.3</v>
      </c>
      <c r="H89" t="n">
        <v>2.3</v>
      </c>
      <c r="I89" t="n">
        <v>2</v>
      </c>
      <c r="J89" t="inlineStr">
        <is>
          <t>Xe máy</t>
        </is>
      </c>
    </row>
    <row r="90">
      <c r="A90" t="inlineStr">
        <is>
          <t>Bùi Thị Nga</t>
        </is>
      </c>
      <c r="B90" t="inlineStr">
        <is>
          <t>Nữ</t>
        </is>
      </c>
      <c r="C90" t="inlineStr">
        <is>
          <t>HC209389</t>
        </is>
      </c>
      <c r="D90" t="inlineStr">
        <is>
          <t>Thiết kế mỹ thuật số</t>
        </is>
      </c>
      <c r="E90" t="inlineStr">
        <is>
          <t>Dom A</t>
        </is>
      </c>
      <c r="F90" t="inlineStr">
        <is>
          <t>Ký túc xá</t>
        </is>
      </c>
      <c r="G90" t="n">
        <v>0.3</v>
      </c>
      <c r="H90" t="n">
        <v>1.1</v>
      </c>
      <c r="I90" t="n">
        <v>4</v>
      </c>
      <c r="J90" t="inlineStr">
        <is>
          <t>Đi bộ</t>
        </is>
      </c>
    </row>
    <row r="91">
      <c r="A91" t="inlineStr">
        <is>
          <t>Nguyễn Văn Giao</t>
        </is>
      </c>
      <c r="B91" t="inlineStr">
        <is>
          <t>Nam</t>
        </is>
      </c>
      <c r="C91" t="inlineStr">
        <is>
          <t>HC215141</t>
        </is>
      </c>
      <c r="D91" t="inlineStr">
        <is>
          <t>Thiết kế mỹ thuật số</t>
        </is>
      </c>
      <c r="E91" t="inlineStr">
        <is>
          <t>Thạch Hòa</t>
        </is>
      </c>
      <c r="F91" t="inlineStr">
        <is>
          <t>Chung cư mini</t>
        </is>
      </c>
      <c r="G91" t="n">
        <v>4.4</v>
      </c>
      <c r="H91" t="n">
        <v>2.6</v>
      </c>
      <c r="I91" t="n">
        <v>2</v>
      </c>
      <c r="J91" t="inlineStr">
        <is>
          <t>Xe máy</t>
        </is>
      </c>
    </row>
    <row r="92">
      <c r="A92" t="inlineStr">
        <is>
          <t>Lê Thị Hạnh</t>
        </is>
      </c>
      <c r="B92" t="inlineStr">
        <is>
          <t>Nữ</t>
        </is>
      </c>
      <c r="C92" t="inlineStr">
        <is>
          <t>HC185573</t>
        </is>
      </c>
      <c r="D92" t="inlineStr">
        <is>
          <t>Thiết kế mỹ thuật số</t>
        </is>
      </c>
      <c r="E92" t="inlineStr">
        <is>
          <t>Hòa Lạc</t>
        </is>
      </c>
      <c r="F92" t="inlineStr">
        <is>
          <t>Phòng khép kín</t>
        </is>
      </c>
      <c r="G92" t="n">
        <v>5.6</v>
      </c>
      <c r="H92" t="n">
        <v>1.9</v>
      </c>
      <c r="I92" t="n">
        <v>1</v>
      </c>
      <c r="J92" t="inlineStr">
        <is>
          <t>Xe buýt</t>
        </is>
      </c>
    </row>
    <row r="93">
      <c r="A93" t="inlineStr">
        <is>
          <t>Trần Văn Bình</t>
        </is>
      </c>
      <c r="B93" t="inlineStr">
        <is>
          <t>Nam</t>
        </is>
      </c>
      <c r="C93" t="inlineStr">
        <is>
          <t>HE185738</t>
        </is>
      </c>
      <c r="D93" t="inlineStr">
        <is>
          <t>Công nghệ thông tin</t>
        </is>
      </c>
      <c r="E93" t="inlineStr">
        <is>
          <t>Tân Xã</t>
        </is>
      </c>
      <c r="F93" t="inlineStr">
        <is>
          <t>Phòng trọ cơ bản</t>
        </is>
      </c>
      <c r="G93" t="n">
        <v>3.1</v>
      </c>
      <c r="H93" t="n">
        <v>2.2</v>
      </c>
      <c r="I93" t="n">
        <v>1</v>
      </c>
      <c r="J93" t="inlineStr">
        <is>
          <t>Xe máy</t>
        </is>
      </c>
    </row>
    <row r="94">
      <c r="A94" t="inlineStr">
        <is>
          <t>Phạm Thị Khánh</t>
        </is>
      </c>
      <c r="B94" t="inlineStr">
        <is>
          <t>Nữ</t>
        </is>
      </c>
      <c r="C94" t="inlineStr">
        <is>
          <t>HC209739</t>
        </is>
      </c>
      <c r="D94" t="inlineStr">
        <is>
          <t>Thiết kế mỹ thuật số</t>
        </is>
      </c>
      <c r="E94" t="inlineStr">
        <is>
          <t>Dom B</t>
        </is>
      </c>
      <c r="F94" t="inlineStr">
        <is>
          <t>Ký túc xá</t>
        </is>
      </c>
      <c r="G94" t="n">
        <v>0.2</v>
      </c>
      <c r="H94" t="n">
        <v>1.1</v>
      </c>
      <c r="I94" t="n">
        <v>4</v>
      </c>
      <c r="J94" t="inlineStr">
        <is>
          <t>Đi bộ</t>
        </is>
      </c>
    </row>
    <row r="95">
      <c r="A95" t="inlineStr">
        <is>
          <t>Vũ Văn Lâm</t>
        </is>
      </c>
      <c r="B95" t="inlineStr">
        <is>
          <t>Nam</t>
        </is>
      </c>
      <c r="C95" t="inlineStr">
        <is>
          <t>HE198138</t>
        </is>
      </c>
      <c r="D95" t="inlineStr">
        <is>
          <t>Công nghệ thông tin</t>
        </is>
      </c>
      <c r="E95" t="inlineStr">
        <is>
          <t>Thạch Hòa</t>
        </is>
      </c>
      <c r="F95" t="inlineStr">
        <is>
          <t>Chung cư mini</t>
        </is>
      </c>
      <c r="G95" t="n">
        <v>3.2</v>
      </c>
      <c r="H95" t="n">
        <v>2.7</v>
      </c>
      <c r="I95" t="n">
        <v>2</v>
      </c>
      <c r="J95" t="inlineStr">
        <is>
          <t>Xe máy</t>
        </is>
      </c>
    </row>
    <row r="96">
      <c r="A96" t="inlineStr">
        <is>
          <t>Hoàng Thị Như</t>
        </is>
      </c>
      <c r="B96" t="inlineStr">
        <is>
          <t>Nữ</t>
        </is>
      </c>
      <c r="C96" t="inlineStr">
        <is>
          <t>HS199502</t>
        </is>
      </c>
      <c r="D96" t="inlineStr">
        <is>
          <t>An toàn thông tin</t>
        </is>
      </c>
      <c r="E96" t="inlineStr">
        <is>
          <t>Hòa Lạc</t>
        </is>
      </c>
      <c r="F96" t="inlineStr">
        <is>
          <t>Phòng khép kín</t>
        </is>
      </c>
      <c r="G96" t="n">
        <v>7.1</v>
      </c>
      <c r="H96" t="n">
        <v>1.4</v>
      </c>
      <c r="I96" t="n">
        <v>2</v>
      </c>
      <c r="J96" t="inlineStr">
        <is>
          <t>Xe buýt</t>
        </is>
      </c>
    </row>
    <row r="97">
      <c r="A97" t="inlineStr">
        <is>
          <t>Bùi Văn Oanh</t>
        </is>
      </c>
      <c r="B97" t="inlineStr">
        <is>
          <t>Nam</t>
        </is>
      </c>
      <c r="C97" t="inlineStr">
        <is>
          <t>HC197475</t>
        </is>
      </c>
      <c r="D97" t="inlineStr">
        <is>
          <t>Thiết kế mỹ thuật số</t>
        </is>
      </c>
      <c r="E97" t="inlineStr">
        <is>
          <t>Tân Xã</t>
        </is>
      </c>
      <c r="F97" t="inlineStr">
        <is>
          <t>Phòng trọ cơ bản</t>
        </is>
      </c>
      <c r="G97" t="n">
        <v>2.7</v>
      </c>
      <c r="H97" t="n">
        <v>1.9</v>
      </c>
      <c r="I97" t="n">
        <v>2</v>
      </c>
      <c r="J97" t="inlineStr">
        <is>
          <t>Xe máy</t>
        </is>
      </c>
    </row>
    <row r="98">
      <c r="A98" t="inlineStr">
        <is>
          <t>Nguyễn Thị Phúc</t>
        </is>
      </c>
      <c r="B98" t="inlineStr">
        <is>
          <t>Nữ</t>
        </is>
      </c>
      <c r="C98" t="inlineStr">
        <is>
          <t>HC191127</t>
        </is>
      </c>
      <c r="D98" t="inlineStr">
        <is>
          <t>Thiết kế mỹ thuật số</t>
        </is>
      </c>
      <c r="E98" t="inlineStr">
        <is>
          <t>Dom C</t>
        </is>
      </c>
      <c r="F98" t="inlineStr">
        <is>
          <t>Ký túc xá</t>
        </is>
      </c>
      <c r="G98" t="n">
        <v>0.7</v>
      </c>
      <c r="H98" t="n">
        <v>1.1</v>
      </c>
      <c r="I98" t="n">
        <v>4</v>
      </c>
      <c r="J98" t="inlineStr">
        <is>
          <t>Đi bộ</t>
        </is>
      </c>
    </row>
    <row r="99">
      <c r="A99" t="inlineStr">
        <is>
          <t>Lê Văn Quân</t>
        </is>
      </c>
      <c r="B99" t="inlineStr">
        <is>
          <t>Nam</t>
        </is>
      </c>
      <c r="C99" t="inlineStr">
        <is>
          <t>HA211534</t>
        </is>
      </c>
      <c r="D99" t="inlineStr">
        <is>
          <t>Quản trị kinh doanh</t>
        </is>
      </c>
      <c r="E99" t="inlineStr">
        <is>
          <t>Thạch Hòa</t>
        </is>
      </c>
      <c r="F99" t="inlineStr">
        <is>
          <t>Phòng trọ cơ bản</t>
        </is>
      </c>
      <c r="G99" t="n">
        <v>2.8</v>
      </c>
      <c r="H99" t="n">
        <v>2.3</v>
      </c>
      <c r="I99" t="n">
        <v>2</v>
      </c>
      <c r="J99" t="inlineStr">
        <is>
          <t>Xe máy</t>
        </is>
      </c>
    </row>
    <row r="100">
      <c r="A100" t="inlineStr">
        <is>
          <t>Phan Thị Trinh</t>
        </is>
      </c>
      <c r="B100" t="inlineStr">
        <is>
          <t>Nữ</t>
        </is>
      </c>
      <c r="C100" t="inlineStr">
        <is>
          <t>HS184423</t>
        </is>
      </c>
      <c r="D100" t="inlineStr">
        <is>
          <t>An toàn thông tin</t>
        </is>
      </c>
      <c r="E100" t="inlineStr">
        <is>
          <t>Hòa Lạc</t>
        </is>
      </c>
      <c r="F100" t="inlineStr">
        <is>
          <t>Phòng khép kín</t>
        </is>
      </c>
      <c r="G100" t="n">
        <v>4.7</v>
      </c>
      <c r="H100" t="n">
        <v>1.9</v>
      </c>
      <c r="I100" t="n">
        <v>2</v>
      </c>
      <c r="J100" t="inlineStr">
        <is>
          <t>Xe buýt</t>
        </is>
      </c>
    </row>
    <row r="101">
      <c r="A101" t="inlineStr">
        <is>
          <t>Trần Văn Sơn</t>
        </is>
      </c>
      <c r="B101" t="inlineStr">
        <is>
          <t>Nam</t>
        </is>
      </c>
      <c r="C101" t="inlineStr">
        <is>
          <t>HC187768</t>
        </is>
      </c>
      <c r="D101" t="inlineStr">
        <is>
          <t>Thiết kế mỹ thuật số</t>
        </is>
      </c>
      <c r="E101" t="inlineStr">
        <is>
          <t>Tân Xã</t>
        </is>
      </c>
      <c r="F101" t="inlineStr">
        <is>
          <t>Phòng trọ cơ bản</t>
        </is>
      </c>
      <c r="G101" t="n">
        <v>3.7</v>
      </c>
      <c r="H101" t="n">
        <v>2</v>
      </c>
      <c r="I101" t="n">
        <v>1</v>
      </c>
      <c r="J101" t="inlineStr">
        <is>
          <t>Xe máy</t>
        </is>
      </c>
    </row>
    <row r="102">
      <c r="A102" t="inlineStr">
        <is>
          <t>Ngô Thị Yến</t>
        </is>
      </c>
      <c r="B102" t="inlineStr">
        <is>
          <t>Nữ</t>
        </is>
      </c>
      <c r="C102" t="inlineStr">
        <is>
          <t>HE181065</t>
        </is>
      </c>
      <c r="D102" t="inlineStr">
        <is>
          <t>Công nghệ thông tin</t>
        </is>
      </c>
      <c r="E102" t="inlineStr">
        <is>
          <t>Dom A</t>
        </is>
      </c>
      <c r="F102" t="inlineStr">
        <is>
          <t>Ký túc xá</t>
        </is>
      </c>
      <c r="G102" t="n">
        <v>0.2</v>
      </c>
      <c r="H102" t="n">
        <v>0.8</v>
      </c>
      <c r="I102" t="n">
        <v>6</v>
      </c>
      <c r="J102" t="inlineStr">
        <is>
          <t>Đi bộ</t>
        </is>
      </c>
    </row>
    <row r="103">
      <c r="A103" t="inlineStr">
        <is>
          <t>Đặng Văn Phúc</t>
        </is>
      </c>
      <c r="B103" t="inlineStr">
        <is>
          <t>Nam</t>
        </is>
      </c>
      <c r="C103" t="inlineStr">
        <is>
          <t>HE190995</t>
        </is>
      </c>
      <c r="D103" t="inlineStr">
        <is>
          <t>Công nghệ thông tin</t>
        </is>
      </c>
      <c r="E103" t="inlineStr">
        <is>
          <t>Dom B</t>
        </is>
      </c>
      <c r="F103" t="inlineStr">
        <is>
          <t>Ký túc xá</t>
        </is>
      </c>
      <c r="G103" t="n">
        <v>0.3</v>
      </c>
      <c r="H103" t="n">
        <v>0.8</v>
      </c>
      <c r="I103" t="n">
        <v>6</v>
      </c>
      <c r="J103" t="inlineStr">
        <is>
          <t>Đi bộ</t>
        </is>
      </c>
    </row>
    <row r="104">
      <c r="A104" t="inlineStr">
        <is>
          <t>Vũ Thị Hà</t>
        </is>
      </c>
      <c r="B104" t="inlineStr">
        <is>
          <t>Nữ</t>
        </is>
      </c>
      <c r="C104" t="inlineStr">
        <is>
          <t>HS215073</t>
        </is>
      </c>
      <c r="D104" t="inlineStr">
        <is>
          <t>An toàn thông tin</t>
        </is>
      </c>
      <c r="E104" t="inlineStr">
        <is>
          <t>Dom C</t>
        </is>
      </c>
      <c r="F104" t="inlineStr">
        <is>
          <t>Ký túc xá</t>
        </is>
      </c>
      <c r="G104" t="n">
        <v>0.4</v>
      </c>
      <c r="H104" t="n">
        <v>0.8</v>
      </c>
      <c r="I104" t="n">
        <v>6</v>
      </c>
      <c r="J104" t="inlineStr">
        <is>
          <t>Đi bộ</t>
        </is>
      </c>
    </row>
    <row r="105">
      <c r="A105" t="inlineStr">
        <is>
          <t>Trịnh Văn Đức</t>
        </is>
      </c>
      <c r="B105" t="inlineStr">
        <is>
          <t>Nam</t>
        </is>
      </c>
      <c r="C105" t="inlineStr">
        <is>
          <t>HC219470</t>
        </is>
      </c>
      <c r="D105" t="inlineStr">
        <is>
          <t>Thiết kế mỹ thuật số</t>
        </is>
      </c>
      <c r="E105" t="inlineStr">
        <is>
          <t>Dom D</t>
        </is>
      </c>
      <c r="F105" t="inlineStr">
        <is>
          <t>Ký túc xá</t>
        </is>
      </c>
      <c r="G105" t="n">
        <v>0.5</v>
      </c>
      <c r="H105" t="n">
        <v>0.8</v>
      </c>
      <c r="I105" t="n">
        <v>6</v>
      </c>
      <c r="J105" t="inlineStr">
        <is>
          <t>Đi bộ</t>
        </is>
      </c>
    </row>
    <row r="106">
      <c r="A106" t="inlineStr">
        <is>
          <t>Dương Bích Bình</t>
        </is>
      </c>
      <c r="B106" t="inlineStr">
        <is>
          <t>Nữ</t>
        </is>
      </c>
      <c r="C106" t="inlineStr">
        <is>
          <t>HE186023</t>
        </is>
      </c>
      <c r="D106" t="inlineStr">
        <is>
          <t>Công nghệ thông tin</t>
        </is>
      </c>
      <c r="E106" t="inlineStr">
        <is>
          <t>Tân Xã</t>
        </is>
      </c>
      <c r="F106" t="inlineStr">
        <is>
          <t>Phòng khép kín</t>
        </is>
      </c>
      <c r="G106" t="n">
        <v>3</v>
      </c>
      <c r="H106" t="n">
        <v>2.5</v>
      </c>
      <c r="I106" t="n">
        <v>1</v>
      </c>
      <c r="J106" t="inlineStr">
        <is>
          <t>Xe máy</t>
        </is>
      </c>
    </row>
    <row r="107">
      <c r="A107" t="inlineStr">
        <is>
          <t>Hoàng Văn Khang</t>
        </is>
      </c>
      <c r="B107" t="inlineStr">
        <is>
          <t>Nam</t>
        </is>
      </c>
      <c r="C107" t="inlineStr">
        <is>
          <t>HE202594</t>
        </is>
      </c>
      <c r="D107" t="inlineStr">
        <is>
          <t>Công nghệ thông tin</t>
        </is>
      </c>
      <c r="E107" t="inlineStr">
        <is>
          <t>Tân Xã</t>
        </is>
      </c>
      <c r="F107" t="inlineStr">
        <is>
          <t>Phòng trọ cơ bản</t>
        </is>
      </c>
      <c r="G107" t="n">
        <v>3.5</v>
      </c>
      <c r="H107" t="n">
        <v>2.7</v>
      </c>
      <c r="I107" t="n">
        <v>2</v>
      </c>
      <c r="J107" t="inlineStr">
        <is>
          <t>Xe máy</t>
        </is>
      </c>
    </row>
    <row r="108">
      <c r="A108" t="inlineStr">
        <is>
          <t>Dương Kim Dung</t>
        </is>
      </c>
      <c r="B108" t="inlineStr">
        <is>
          <t>Nữ</t>
        </is>
      </c>
      <c r="C108" t="inlineStr">
        <is>
          <t>HE190492</t>
        </is>
      </c>
      <c r="D108" t="inlineStr">
        <is>
          <t>Công nghệ thông tin</t>
        </is>
      </c>
      <c r="E108" t="inlineStr">
        <is>
          <t>Tân Xã</t>
        </is>
      </c>
      <c r="F108" t="inlineStr">
        <is>
          <t>Chung cư mini</t>
        </is>
      </c>
      <c r="G108" t="n">
        <v>2.3</v>
      </c>
      <c r="H108" t="n">
        <v>2.7</v>
      </c>
      <c r="I108" t="n">
        <v>2</v>
      </c>
      <c r="J108" t="inlineStr">
        <is>
          <t>Xe máy</t>
        </is>
      </c>
    </row>
    <row r="109">
      <c r="A109" t="inlineStr">
        <is>
          <t>Đoàn Quang Khang</t>
        </is>
      </c>
      <c r="B109" t="inlineStr">
        <is>
          <t>Nam</t>
        </is>
      </c>
      <c r="C109" t="inlineStr">
        <is>
          <t>HE210990</t>
        </is>
      </c>
      <c r="D109" t="inlineStr">
        <is>
          <t>Công nghệ thông tin</t>
        </is>
      </c>
      <c r="E109" t="inlineStr">
        <is>
          <t>Tân Xã</t>
        </is>
      </c>
      <c r="F109" t="inlineStr">
        <is>
          <t>Phòng trọ cơ bản</t>
        </is>
      </c>
      <c r="G109" t="n">
        <v>2</v>
      </c>
      <c r="H109" t="n">
        <v>1.5</v>
      </c>
      <c r="I109" t="n">
        <v>2</v>
      </c>
      <c r="J109" t="inlineStr">
        <is>
          <t>Xe máy</t>
        </is>
      </c>
    </row>
    <row r="110">
      <c r="A110" t="inlineStr">
        <is>
          <t>Đoàn Kim Gấm</t>
        </is>
      </c>
      <c r="B110" t="inlineStr">
        <is>
          <t>Nữ</t>
        </is>
      </c>
      <c r="C110" t="inlineStr">
        <is>
          <t>HE217093</t>
        </is>
      </c>
      <c r="D110" t="inlineStr">
        <is>
          <t>Công nghệ thông tin</t>
        </is>
      </c>
      <c r="E110" t="inlineStr">
        <is>
          <t>Tân Xã</t>
        </is>
      </c>
      <c r="F110" t="inlineStr">
        <is>
          <t>Phòng trọ cơ bản</t>
        </is>
      </c>
      <c r="G110" t="n">
        <v>2</v>
      </c>
      <c r="H110" t="n">
        <v>1.6</v>
      </c>
      <c r="I110" t="n">
        <v>1</v>
      </c>
      <c r="J110" t="inlineStr">
        <is>
          <t>Xe máy</t>
        </is>
      </c>
    </row>
    <row r="111">
      <c r="A111" t="inlineStr">
        <is>
          <t>Phùng Thu Hạnh</t>
        </is>
      </c>
      <c r="B111" t="inlineStr">
        <is>
          <t>Nữ</t>
        </is>
      </c>
      <c r="C111" t="inlineStr">
        <is>
          <t>HS202230</t>
        </is>
      </c>
      <c r="D111" t="inlineStr">
        <is>
          <t>An toàn thông tin</t>
        </is>
      </c>
      <c r="E111" t="inlineStr">
        <is>
          <t>Tân Xã</t>
        </is>
      </c>
      <c r="F111" t="inlineStr">
        <is>
          <t>Phòng trọ cơ bản</t>
        </is>
      </c>
      <c r="G111" t="n">
        <v>0.5</v>
      </c>
      <c r="H111" t="n">
        <v>1.6</v>
      </c>
      <c r="I111" t="n">
        <v>2</v>
      </c>
      <c r="J111" t="inlineStr">
        <is>
          <t>Đi bộ</t>
        </is>
      </c>
    </row>
    <row r="112">
      <c r="A112" t="inlineStr">
        <is>
          <t>Phạm Kim Uyên</t>
        </is>
      </c>
      <c r="B112" t="inlineStr">
        <is>
          <t>Nữ</t>
        </is>
      </c>
      <c r="C112" t="inlineStr">
        <is>
          <t>HS217411</t>
        </is>
      </c>
      <c r="D112" t="inlineStr">
        <is>
          <t>An toàn thông tin</t>
        </is>
      </c>
      <c r="E112" t="inlineStr">
        <is>
          <t>Tân Xã</t>
        </is>
      </c>
      <c r="F112" t="inlineStr">
        <is>
          <t>Phòng trọ cơ bản</t>
        </is>
      </c>
      <c r="G112" t="n">
        <v>2.2</v>
      </c>
      <c r="H112" t="n">
        <v>1.9</v>
      </c>
      <c r="I112" t="n">
        <v>1</v>
      </c>
      <c r="J112" t="inlineStr">
        <is>
          <t>Xe máy</t>
        </is>
      </c>
    </row>
    <row r="113">
      <c r="A113" t="inlineStr">
        <is>
          <t>Hoàng Hồng Đào</t>
        </is>
      </c>
      <c r="B113" t="inlineStr">
        <is>
          <t>Nữ</t>
        </is>
      </c>
      <c r="C113" t="inlineStr">
        <is>
          <t>HA184604</t>
        </is>
      </c>
      <c r="D113" t="inlineStr">
        <is>
          <t>Quản trị kinh doanh</t>
        </is>
      </c>
      <c r="E113" t="inlineStr">
        <is>
          <t>Tân Xã</t>
        </is>
      </c>
      <c r="F113" t="inlineStr">
        <is>
          <t>Chung cư mini/Studio</t>
        </is>
      </c>
      <c r="G113" t="n">
        <v>2.8</v>
      </c>
      <c r="H113" t="n">
        <v>2.8</v>
      </c>
      <c r="I113" t="n">
        <v>2</v>
      </c>
      <c r="J113" t="inlineStr">
        <is>
          <t>Xe máy</t>
        </is>
      </c>
    </row>
    <row r="114">
      <c r="A114" t="inlineStr">
        <is>
          <t>Nguyễn Quang Long</t>
        </is>
      </c>
      <c r="B114" t="inlineStr">
        <is>
          <t>Nam</t>
        </is>
      </c>
      <c r="C114" t="inlineStr">
        <is>
          <t>HE215088</t>
        </is>
      </c>
      <c r="D114" t="inlineStr">
        <is>
          <t>Công nghệ thông tin</t>
        </is>
      </c>
      <c r="E114" t="inlineStr">
        <is>
          <t>Tân Xã</t>
        </is>
      </c>
      <c r="F114" t="inlineStr">
        <is>
          <t>Phòng trọ cơ bản</t>
        </is>
      </c>
      <c r="G114" t="n">
        <v>3.2</v>
      </c>
      <c r="H114" t="n">
        <v>2</v>
      </c>
      <c r="I114" t="n">
        <v>2</v>
      </c>
      <c r="J114" t="inlineStr">
        <is>
          <t>Xe máy</t>
        </is>
      </c>
    </row>
    <row r="115">
      <c r="A115" t="inlineStr">
        <is>
          <t>Trần Quang Nam</t>
        </is>
      </c>
      <c r="B115" t="inlineStr">
        <is>
          <t>Nam</t>
        </is>
      </c>
      <c r="C115" t="inlineStr">
        <is>
          <t>HC208881</t>
        </is>
      </c>
      <c r="D115" t="inlineStr">
        <is>
          <t>Thiết kế mỹ thuật số</t>
        </is>
      </c>
      <c r="E115" t="inlineStr">
        <is>
          <t>Thạch Hòa</t>
        </is>
      </c>
      <c r="F115" t="inlineStr">
        <is>
          <t>Phòng trọ cơ bản</t>
        </is>
      </c>
      <c r="G115" t="n">
        <v>2.6</v>
      </c>
      <c r="H115" t="n">
        <v>2.3</v>
      </c>
      <c r="I115" t="n">
        <v>2</v>
      </c>
      <c r="J115" t="inlineStr">
        <is>
          <t>Xe máy</t>
        </is>
      </c>
    </row>
    <row r="116">
      <c r="A116" t="inlineStr">
        <is>
          <t>Bùi Hữu Lâm</t>
        </is>
      </c>
      <c r="B116" t="inlineStr">
        <is>
          <t>Nam</t>
        </is>
      </c>
      <c r="C116" t="inlineStr">
        <is>
          <t>HE188935</t>
        </is>
      </c>
      <c r="D116" t="inlineStr">
        <is>
          <t>Công nghệ thông tin</t>
        </is>
      </c>
      <c r="E116" t="inlineStr">
        <is>
          <t>Thạch Hòa</t>
        </is>
      </c>
      <c r="F116" t="inlineStr">
        <is>
          <t>Chung cư mini</t>
        </is>
      </c>
      <c r="G116" t="n">
        <v>3</v>
      </c>
      <c r="H116" t="n">
        <v>3</v>
      </c>
      <c r="I116" t="n">
        <v>2</v>
      </c>
      <c r="J116" t="inlineStr">
        <is>
          <t>Xe máy</t>
        </is>
      </c>
    </row>
    <row r="117">
      <c r="A117" t="inlineStr">
        <is>
          <t>Vũ Xuân Hải</t>
        </is>
      </c>
      <c r="B117" t="inlineStr">
        <is>
          <t>Nam</t>
        </is>
      </c>
      <c r="C117" t="inlineStr">
        <is>
          <t>HE217469</t>
        </is>
      </c>
      <c r="D117" t="inlineStr">
        <is>
          <t>Công nghệ thông tin</t>
        </is>
      </c>
      <c r="E117" t="inlineStr">
        <is>
          <t>Thạch Hòa</t>
        </is>
      </c>
      <c r="F117" t="inlineStr">
        <is>
          <t>Phòng trọ cơ bản</t>
        </is>
      </c>
      <c r="G117" t="n">
        <v>3.3</v>
      </c>
      <c r="H117" t="n">
        <v>2.2</v>
      </c>
      <c r="I117" t="n">
        <v>1</v>
      </c>
      <c r="J117" t="inlineStr">
        <is>
          <t>Xe máy</t>
        </is>
      </c>
    </row>
    <row r="118">
      <c r="A118" t="inlineStr">
        <is>
          <t>Nguyễn Văn Hùng</t>
        </is>
      </c>
      <c r="B118" t="inlineStr">
        <is>
          <t>Nam</t>
        </is>
      </c>
      <c r="C118" t="inlineStr">
        <is>
          <t>HS196431</t>
        </is>
      </c>
      <c r="D118" t="inlineStr">
        <is>
          <t>An toàn thông tin</t>
        </is>
      </c>
      <c r="E118" t="inlineStr">
        <is>
          <t>Thạch Hòa</t>
        </is>
      </c>
      <c r="F118" t="inlineStr">
        <is>
          <t>Chung cư mini</t>
        </is>
      </c>
      <c r="G118" t="n">
        <v>3.6</v>
      </c>
      <c r="H118" t="n">
        <v>2.9</v>
      </c>
      <c r="I118" t="n">
        <v>2</v>
      </c>
      <c r="J118" t="inlineStr">
        <is>
          <t>Xe máy</t>
        </is>
      </c>
    </row>
    <row r="119">
      <c r="A119" t="inlineStr">
        <is>
          <t>Phùng Mỹ Khánh</t>
        </is>
      </c>
      <c r="B119" t="inlineStr">
        <is>
          <t>Nữ</t>
        </is>
      </c>
      <c r="C119" t="inlineStr">
        <is>
          <t>HS204692</t>
        </is>
      </c>
      <c r="D119" t="inlineStr">
        <is>
          <t>An toàn thông tin</t>
        </is>
      </c>
      <c r="E119" t="inlineStr">
        <is>
          <t>Thạch Hòa</t>
        </is>
      </c>
      <c r="F119" t="inlineStr">
        <is>
          <t>Phòng trọ cơ bản</t>
        </is>
      </c>
      <c r="G119" t="n">
        <v>3.9</v>
      </c>
      <c r="H119" t="n">
        <v>1.9</v>
      </c>
      <c r="I119" t="n">
        <v>2</v>
      </c>
      <c r="J119" t="inlineStr">
        <is>
          <t>Xe máy</t>
        </is>
      </c>
    </row>
    <row r="120">
      <c r="A120" t="inlineStr">
        <is>
          <t>Hoàng Thu Kiều</t>
        </is>
      </c>
      <c r="B120" t="inlineStr">
        <is>
          <t>Nữ</t>
        </is>
      </c>
      <c r="C120" t="inlineStr">
        <is>
          <t>HE201633</t>
        </is>
      </c>
      <c r="D120" t="inlineStr">
        <is>
          <t>Công nghệ thông tin</t>
        </is>
      </c>
      <c r="E120" t="inlineStr">
        <is>
          <t>Thạch Hòa</t>
        </is>
      </c>
      <c r="F120" t="inlineStr">
        <is>
          <t>Chung cư mini</t>
        </is>
      </c>
      <c r="G120" t="n">
        <v>4.2</v>
      </c>
      <c r="H120" t="n">
        <v>2.8</v>
      </c>
      <c r="I120" t="n">
        <v>2</v>
      </c>
      <c r="J120" t="inlineStr">
        <is>
          <t>Xe máy</t>
        </is>
      </c>
    </row>
    <row r="121">
      <c r="A121" t="inlineStr">
        <is>
          <t>Ngô Thị Vy</t>
        </is>
      </c>
      <c r="B121" t="inlineStr">
        <is>
          <t>Nữ</t>
        </is>
      </c>
      <c r="C121" t="inlineStr">
        <is>
          <t>HE213512</t>
        </is>
      </c>
      <c r="D121" t="inlineStr">
        <is>
          <t>Công nghệ thông tin</t>
        </is>
      </c>
      <c r="E121" t="inlineStr">
        <is>
          <t>Thạch Hòa</t>
        </is>
      </c>
      <c r="F121" t="inlineStr">
        <is>
          <t>Phòng trọ cơ bản</t>
        </is>
      </c>
      <c r="G121" t="n">
        <v>4.5</v>
      </c>
      <c r="H121" t="n">
        <v>2</v>
      </c>
      <c r="I121" t="n">
        <v>1</v>
      </c>
      <c r="J121" t="inlineStr">
        <is>
          <t>Xe máy</t>
        </is>
      </c>
    </row>
    <row r="122">
      <c r="A122" t="inlineStr">
        <is>
          <t>Phùng Văn Sơn</t>
        </is>
      </c>
      <c r="B122" t="inlineStr">
        <is>
          <t>Nam</t>
        </is>
      </c>
      <c r="C122" t="inlineStr">
        <is>
          <t>HS210790</t>
        </is>
      </c>
      <c r="D122" t="inlineStr">
        <is>
          <t>An toàn thông tin</t>
        </is>
      </c>
      <c r="E122" t="inlineStr">
        <is>
          <t>Thạch Hòa</t>
        </is>
      </c>
      <c r="F122" t="inlineStr">
        <is>
          <t>Phòng trọ cơ bản</t>
        </is>
      </c>
      <c r="G122" t="n">
        <v>4.8</v>
      </c>
      <c r="H122" t="n">
        <v>1.8</v>
      </c>
      <c r="I122" t="n">
        <v>1</v>
      </c>
      <c r="J122" t="inlineStr">
        <is>
          <t>Xe máy</t>
        </is>
      </c>
    </row>
    <row r="123">
      <c r="A123" t="inlineStr">
        <is>
          <t>Hồ Công Minh</t>
        </is>
      </c>
      <c r="B123" t="inlineStr">
        <is>
          <t>Nam</t>
        </is>
      </c>
      <c r="C123" t="inlineStr">
        <is>
          <t>HA215944</t>
        </is>
      </c>
      <c r="D123" t="inlineStr">
        <is>
          <t>Quản trị kinh doanh</t>
        </is>
      </c>
      <c r="E123" t="inlineStr">
        <is>
          <t>Hòa Lạc</t>
        </is>
      </c>
      <c r="F123" t="inlineStr">
        <is>
          <t>Phòng khép kín</t>
        </is>
      </c>
      <c r="G123" t="n">
        <v>5.4</v>
      </c>
      <c r="H123" t="n">
        <v>1.9</v>
      </c>
      <c r="I123" t="n">
        <v>2</v>
      </c>
      <c r="J123" t="inlineStr">
        <is>
          <t>Xe buýt</t>
        </is>
      </c>
    </row>
    <row r="124">
      <c r="A124" t="inlineStr">
        <is>
          <t>Đoàn Công Sơn</t>
        </is>
      </c>
      <c r="B124" t="inlineStr">
        <is>
          <t>Nam</t>
        </is>
      </c>
      <c r="C124" t="inlineStr">
        <is>
          <t>HE196273</t>
        </is>
      </c>
      <c r="D124" t="inlineStr">
        <is>
          <t>Công nghệ thông tin</t>
        </is>
      </c>
      <c r="E124" t="inlineStr">
        <is>
          <t>Hòa Lạc</t>
        </is>
      </c>
      <c r="F124" t="inlineStr">
        <is>
          <t>Phòng khép kín</t>
        </is>
      </c>
      <c r="G124" t="n">
        <v>5.7</v>
      </c>
      <c r="H124" t="n">
        <v>1.6</v>
      </c>
      <c r="I124" t="n">
        <v>2</v>
      </c>
      <c r="J124" t="inlineStr">
        <is>
          <t>Xe buýt</t>
        </is>
      </c>
    </row>
    <row r="125">
      <c r="A125" t="inlineStr">
        <is>
          <t>Dương Xuân Long</t>
        </is>
      </c>
      <c r="B125" t="inlineStr">
        <is>
          <t>Nam</t>
        </is>
      </c>
      <c r="C125" t="inlineStr">
        <is>
          <t>HC207439</t>
        </is>
      </c>
      <c r="D125" t="inlineStr">
        <is>
          <t>Thiết kế mỹ thuật số</t>
        </is>
      </c>
      <c r="E125" t="inlineStr">
        <is>
          <t>Hòa Lạc</t>
        </is>
      </c>
      <c r="F125" t="inlineStr">
        <is>
          <t>Phòng khép kín</t>
        </is>
      </c>
      <c r="G125" t="n">
        <v>6.3</v>
      </c>
      <c r="H125" t="n">
        <v>1.5</v>
      </c>
      <c r="I125" t="n">
        <v>2</v>
      </c>
      <c r="J125" t="inlineStr">
        <is>
          <t>Xe buýt</t>
        </is>
      </c>
    </row>
    <row r="126">
      <c r="A126" t="inlineStr">
        <is>
          <t>Vũ Kim Khánh</t>
        </is>
      </c>
      <c r="B126" t="inlineStr">
        <is>
          <t>Nữ</t>
        </is>
      </c>
      <c r="C126" t="inlineStr">
        <is>
          <t>HC196142</t>
        </is>
      </c>
      <c r="D126" t="inlineStr">
        <is>
          <t>Thiết kế mỹ thuật số</t>
        </is>
      </c>
      <c r="E126" t="inlineStr">
        <is>
          <t>Hòa Lạc</t>
        </is>
      </c>
      <c r="F126" t="inlineStr">
        <is>
          <t>Phòng khép kín</t>
        </is>
      </c>
      <c r="G126" t="n">
        <v>6.6</v>
      </c>
      <c r="H126" t="n">
        <v>1.5</v>
      </c>
      <c r="I126" t="n">
        <v>1</v>
      </c>
      <c r="J126" t="inlineStr">
        <is>
          <t>Xe buýt</t>
        </is>
      </c>
    </row>
    <row r="127">
      <c r="A127" t="inlineStr">
        <is>
          <t>Phạm Kim Khánh</t>
        </is>
      </c>
      <c r="B127" t="inlineStr">
        <is>
          <t>Nữ</t>
        </is>
      </c>
      <c r="C127" t="inlineStr">
        <is>
          <t>HS213758</t>
        </is>
      </c>
      <c r="D127" t="inlineStr">
        <is>
          <t>An toàn thông tin</t>
        </is>
      </c>
      <c r="E127" t="inlineStr">
        <is>
          <t>Hòa Lạc</t>
        </is>
      </c>
      <c r="F127" t="inlineStr">
        <is>
          <t>Phòng khép kín</t>
        </is>
      </c>
      <c r="G127" t="n">
        <v>6.9</v>
      </c>
      <c r="H127" t="n">
        <v>1.5</v>
      </c>
      <c r="I127" t="n">
        <v>1</v>
      </c>
      <c r="J127" t="inlineStr">
        <is>
          <t>Xe buýt</t>
        </is>
      </c>
    </row>
    <row r="128">
      <c r="A128" t="inlineStr">
        <is>
          <t>Phùng Thị Tú</t>
        </is>
      </c>
      <c r="B128" t="inlineStr">
        <is>
          <t>Nữ</t>
        </is>
      </c>
      <c r="C128" t="inlineStr">
        <is>
          <t>HS200047</t>
        </is>
      </c>
      <c r="D128" t="inlineStr">
        <is>
          <t>An toàn thông tin</t>
        </is>
      </c>
      <c r="E128" t="inlineStr">
        <is>
          <t>Hòa Lạc</t>
        </is>
      </c>
      <c r="F128" t="inlineStr">
        <is>
          <t>Phòng khép kín</t>
        </is>
      </c>
      <c r="G128" t="n">
        <v>7.4</v>
      </c>
      <c r="H128" t="n">
        <v>1.4</v>
      </c>
      <c r="I128" t="n">
        <v>1</v>
      </c>
      <c r="J128" t="inlineStr">
        <is>
          <t>Xe buýt</t>
        </is>
      </c>
    </row>
    <row r="129">
      <c r="A129" t="inlineStr">
        <is>
          <t>Hoàng Kim Hạnh</t>
        </is>
      </c>
      <c r="B129" t="inlineStr">
        <is>
          <t>Nữ</t>
        </is>
      </c>
      <c r="C129" t="inlineStr">
        <is>
          <t>HC211907</t>
        </is>
      </c>
      <c r="D129" t="inlineStr">
        <is>
          <t>Thiết kế mỹ thuật số</t>
        </is>
      </c>
      <c r="E129" t="inlineStr">
        <is>
          <t>Hòa Lạc</t>
        </is>
      </c>
      <c r="F129" t="inlineStr">
        <is>
          <t>Phòng khép kín</t>
        </is>
      </c>
      <c r="G129" t="n">
        <v>7.9</v>
      </c>
      <c r="H129" t="n">
        <v>1.3</v>
      </c>
      <c r="I129" t="n">
        <v>1</v>
      </c>
      <c r="J129" t="inlineStr">
        <is>
          <t>Xe buýt</t>
        </is>
      </c>
    </row>
    <row r="130">
      <c r="A130" t="inlineStr">
        <is>
          <t>Trịnh Hồng Linh</t>
        </is>
      </c>
      <c r="B130" t="inlineStr">
        <is>
          <t>Nữ</t>
        </is>
      </c>
      <c r="C130" t="inlineStr">
        <is>
          <t>HS219647</t>
        </is>
      </c>
      <c r="D130" t="inlineStr">
        <is>
          <t>An toàn thông tin</t>
        </is>
      </c>
      <c r="E130" t="inlineStr">
        <is>
          <t>Hòa Lạc</t>
        </is>
      </c>
      <c r="F130" t="inlineStr">
        <is>
          <t>Phòng khép kín</t>
        </is>
      </c>
      <c r="G130" t="n">
        <v>8.699999999999999</v>
      </c>
      <c r="H130" t="n">
        <v>1.4</v>
      </c>
      <c r="I130" t="n">
        <v>1</v>
      </c>
      <c r="J130" t="inlineStr">
        <is>
          <t>Xe buýt</t>
        </is>
      </c>
    </row>
    <row r="131">
      <c r="A131" t="inlineStr">
        <is>
          <t>Đặng Ngọc Tú</t>
        </is>
      </c>
      <c r="B131" t="inlineStr">
        <is>
          <t>Nữ</t>
        </is>
      </c>
      <c r="C131" t="inlineStr">
        <is>
          <t>HS218977</t>
        </is>
      </c>
      <c r="D131" t="inlineStr">
        <is>
          <t>An toàn thông tin</t>
        </is>
      </c>
      <c r="E131" t="inlineStr">
        <is>
          <t>Dom A</t>
        </is>
      </c>
      <c r="F131" t="inlineStr">
        <is>
          <t>Ký túc xá</t>
        </is>
      </c>
      <c r="G131" t="n">
        <v>0.1</v>
      </c>
      <c r="H131" t="n">
        <v>1.1</v>
      </c>
      <c r="I131" t="n">
        <v>4</v>
      </c>
      <c r="J131" t="inlineStr">
        <is>
          <t>Đi bộ</t>
        </is>
      </c>
    </row>
    <row r="132">
      <c r="A132" t="inlineStr">
        <is>
          <t>Đặng Quang Nam</t>
        </is>
      </c>
      <c r="B132" t="inlineStr">
        <is>
          <t>Nam</t>
        </is>
      </c>
      <c r="C132" t="inlineStr">
        <is>
          <t>HA197588</t>
        </is>
      </c>
      <c r="D132" t="inlineStr">
        <is>
          <t>Quản trị kinh doanh</t>
        </is>
      </c>
      <c r="E132" t="inlineStr">
        <is>
          <t>Dom A</t>
        </is>
      </c>
      <c r="F132" t="inlineStr">
        <is>
          <t>Ký túc xá</t>
        </is>
      </c>
      <c r="G132" t="n">
        <v>0.5</v>
      </c>
      <c r="H132" t="n">
        <v>0.8</v>
      </c>
      <c r="I132" t="n">
        <v>6</v>
      </c>
      <c r="J132" t="inlineStr">
        <is>
          <t>Đi bộ</t>
        </is>
      </c>
    </row>
    <row r="133">
      <c r="A133" t="inlineStr">
        <is>
          <t>Huỳnh Bích Quỳnh</t>
        </is>
      </c>
      <c r="B133" t="inlineStr">
        <is>
          <t>Nữ</t>
        </is>
      </c>
      <c r="C133" t="inlineStr">
        <is>
          <t>HE218352</t>
        </is>
      </c>
      <c r="D133" t="inlineStr">
        <is>
          <t>Công nghệ thông tin</t>
        </is>
      </c>
      <c r="E133" t="inlineStr">
        <is>
          <t>Dom B</t>
        </is>
      </c>
      <c r="F133" t="inlineStr">
        <is>
          <t>Ký túc xá</t>
        </is>
      </c>
      <c r="G133" t="n">
        <v>0.1</v>
      </c>
      <c r="H133" t="n">
        <v>1.1</v>
      </c>
      <c r="I133" t="n">
        <v>4</v>
      </c>
      <c r="J133" t="inlineStr">
        <is>
          <t>Đi bộ</t>
        </is>
      </c>
    </row>
    <row r="134">
      <c r="A134" t="inlineStr">
        <is>
          <t>Bùi Kim Kiều</t>
        </is>
      </c>
      <c r="B134" t="inlineStr">
        <is>
          <t>Nữ</t>
        </is>
      </c>
      <c r="C134" t="inlineStr">
        <is>
          <t>HE207121</t>
        </is>
      </c>
      <c r="D134" t="inlineStr">
        <is>
          <t>Công nghệ thông tin</t>
        </is>
      </c>
      <c r="E134" t="inlineStr">
        <is>
          <t>Dom B</t>
        </is>
      </c>
      <c r="F134" t="inlineStr">
        <is>
          <t>Ký túc xá</t>
        </is>
      </c>
      <c r="G134" t="n">
        <v>0.5</v>
      </c>
      <c r="H134" t="n">
        <v>0.8</v>
      </c>
      <c r="I134" t="n">
        <v>6</v>
      </c>
      <c r="J134" t="inlineStr">
        <is>
          <t>Đi bộ</t>
        </is>
      </c>
    </row>
    <row r="135">
      <c r="A135" t="inlineStr">
        <is>
          <t>Ngô Thị Ngân</t>
        </is>
      </c>
      <c r="B135" t="inlineStr">
        <is>
          <t>Nữ</t>
        </is>
      </c>
      <c r="C135" t="inlineStr">
        <is>
          <t>HA219049</t>
        </is>
      </c>
      <c r="D135" t="inlineStr">
        <is>
          <t>Quản trị kinh doanh</t>
        </is>
      </c>
      <c r="E135" t="inlineStr">
        <is>
          <t>Dom C</t>
        </is>
      </c>
      <c r="F135" t="inlineStr">
        <is>
          <t>Ký túc xá</t>
        </is>
      </c>
      <c r="G135" t="n">
        <v>0.2</v>
      </c>
      <c r="H135" t="n">
        <v>1.1</v>
      </c>
      <c r="I135" t="n">
        <v>4</v>
      </c>
      <c r="J135" t="inlineStr">
        <is>
          <t>Đi bộ</t>
        </is>
      </c>
    </row>
    <row r="136">
      <c r="A136" t="inlineStr">
        <is>
          <t>Trịnh Minh An</t>
        </is>
      </c>
      <c r="B136" t="inlineStr">
        <is>
          <t>Nam</t>
        </is>
      </c>
      <c r="C136" t="inlineStr">
        <is>
          <t>HC209294</t>
        </is>
      </c>
      <c r="D136" t="inlineStr">
        <is>
          <t>Thiết kế mỹ thuật số</t>
        </is>
      </c>
      <c r="E136" t="inlineStr">
        <is>
          <t>Dom C</t>
        </is>
      </c>
      <c r="F136" t="inlineStr">
        <is>
          <t>Ký túc xá</t>
        </is>
      </c>
      <c r="G136" t="n">
        <v>0.6</v>
      </c>
      <c r="H136" t="n">
        <v>0.8</v>
      </c>
      <c r="I136" t="n">
        <v>6</v>
      </c>
      <c r="J136" t="inlineStr">
        <is>
          <t>Đi bộ</t>
        </is>
      </c>
    </row>
    <row r="137">
      <c r="A137" t="inlineStr">
        <is>
          <t>Nguyễn Minh Long</t>
        </is>
      </c>
      <c r="B137" t="inlineStr">
        <is>
          <t>Nam</t>
        </is>
      </c>
      <c r="C137" t="inlineStr">
        <is>
          <t>HA201044</t>
        </is>
      </c>
      <c r="D137" t="inlineStr">
        <is>
          <t>Quản trị kinh doanh</t>
        </is>
      </c>
      <c r="E137" t="inlineStr">
        <is>
          <t>Dom D</t>
        </is>
      </c>
      <c r="F137" t="inlineStr">
        <is>
          <t>Ký túc xá</t>
        </is>
      </c>
      <c r="G137" t="n">
        <v>0.3</v>
      </c>
      <c r="H137" t="n">
        <v>1.1</v>
      </c>
      <c r="I137" t="n">
        <v>4</v>
      </c>
      <c r="J137" t="inlineStr">
        <is>
          <t>Đi bộ</t>
        </is>
      </c>
    </row>
    <row r="138">
      <c r="A138" t="inlineStr">
        <is>
          <t>Lê Đức Đăng</t>
        </is>
      </c>
      <c r="B138" t="inlineStr">
        <is>
          <t>Nam</t>
        </is>
      </c>
      <c r="C138" t="inlineStr">
        <is>
          <t>HA182971</t>
        </is>
      </c>
      <c r="D138" t="inlineStr">
        <is>
          <t>Quản trị kinh doanh</t>
        </is>
      </c>
      <c r="E138" t="inlineStr">
        <is>
          <t>Dom D</t>
        </is>
      </c>
      <c r="F138" t="inlineStr">
        <is>
          <t>Ký túc xá</t>
        </is>
      </c>
      <c r="G138" t="n">
        <v>0.6</v>
      </c>
      <c r="H138" t="n">
        <v>0.8</v>
      </c>
      <c r="I138" t="n">
        <v>6</v>
      </c>
      <c r="J138" t="inlineStr">
        <is>
          <t>Đi bộ</t>
        </is>
      </c>
    </row>
    <row r="139">
      <c r="A139" t="inlineStr">
        <is>
          <t>Dương Bích Vy</t>
        </is>
      </c>
      <c r="B139" t="inlineStr">
        <is>
          <t>Nữ</t>
        </is>
      </c>
      <c r="C139" t="inlineStr">
        <is>
          <t>HC217716</t>
        </is>
      </c>
      <c r="D139" t="inlineStr">
        <is>
          <t>Thiết kế mỹ thuật số</t>
        </is>
      </c>
      <c r="E139" t="inlineStr">
        <is>
          <t>Dom D</t>
        </is>
      </c>
      <c r="F139" t="inlineStr">
        <is>
          <t>Ký túc xá</t>
        </is>
      </c>
      <c r="G139" t="n">
        <v>0.6</v>
      </c>
      <c r="H139" t="n">
        <v>1.1</v>
      </c>
      <c r="J139" t="inlineStr">
        <is>
          <t>Đi bộ</t>
        </is>
      </c>
    </row>
    <row r="140">
      <c r="A140" t="inlineStr">
        <is>
          <t>Trần Bích Quỳnh</t>
        </is>
      </c>
      <c r="B140" t="inlineStr">
        <is>
          <t>Nữ</t>
        </is>
      </c>
      <c r="C140" t="inlineStr">
        <is>
          <t>HA205532</t>
        </is>
      </c>
      <c r="D140" t="inlineStr">
        <is>
          <t>Quản trị kinh doanh</t>
        </is>
      </c>
      <c r="E140" t="inlineStr">
        <is>
          <t>Dom A</t>
        </is>
      </c>
      <c r="F140" t="inlineStr">
        <is>
          <t>Ký túc xá</t>
        </is>
      </c>
      <c r="H140" t="n">
        <v>1.1</v>
      </c>
      <c r="I140" t="n">
        <v>4</v>
      </c>
      <c r="J140" t="inlineStr">
        <is>
          <t>Đi bộ</t>
        </is>
      </c>
    </row>
    <row r="141">
      <c r="A141" t="inlineStr">
        <is>
          <t>Phạm Ngọc Yến</t>
        </is>
      </c>
      <c r="B141" t="inlineStr">
        <is>
          <t>Nữ</t>
        </is>
      </c>
      <c r="C141" t="inlineStr">
        <is>
          <t>HC186788</t>
        </is>
      </c>
      <c r="D141" t="inlineStr">
        <is>
          <t>Thiết kế mỹ thuật số</t>
        </is>
      </c>
      <c r="E141" t="inlineStr">
        <is>
          <t>Hòa Lạc</t>
        </is>
      </c>
      <c r="F141" t="inlineStr">
        <is>
          <t>Phòng khép kín</t>
        </is>
      </c>
      <c r="G141" t="n">
        <v>6.1</v>
      </c>
      <c r="H141" t="n">
        <v>1.7</v>
      </c>
      <c r="J141" t="inlineStr">
        <is>
          <t>Xe buýt</t>
        </is>
      </c>
    </row>
    <row r="142">
      <c r="A142" t="inlineStr">
        <is>
          <t>Trịnh Diệu Hoa</t>
        </is>
      </c>
      <c r="B142" t="inlineStr">
        <is>
          <t>Nữ</t>
        </is>
      </c>
      <c r="C142" t="inlineStr">
        <is>
          <t>HE193742</t>
        </is>
      </c>
      <c r="D142" t="inlineStr">
        <is>
          <t>Công nghệ thông tin</t>
        </is>
      </c>
      <c r="F142" t="inlineStr">
        <is>
          <t>Ký túc xá</t>
        </is>
      </c>
      <c r="G142" t="n">
        <v>0.2</v>
      </c>
      <c r="H142" t="n">
        <v>1.1</v>
      </c>
      <c r="I142" t="n">
        <v>4</v>
      </c>
      <c r="J142" t="inlineStr">
        <is>
          <t>Đi bộ</t>
        </is>
      </c>
    </row>
    <row r="143">
      <c r="A143" t="inlineStr">
        <is>
          <t>Ngô Văn Phong</t>
        </is>
      </c>
      <c r="B143" t="inlineStr">
        <is>
          <t>Nam</t>
        </is>
      </c>
      <c r="C143" t="inlineStr">
        <is>
          <t>HE219952</t>
        </is>
      </c>
      <c r="D143" t="inlineStr">
        <is>
          <t>Công nghệ thông tin</t>
        </is>
      </c>
      <c r="F143" t="inlineStr">
        <is>
          <t>Phòng trọ cơ bản</t>
        </is>
      </c>
      <c r="G143" t="n">
        <v>3.5</v>
      </c>
      <c r="H143" t="n">
        <v>2.7</v>
      </c>
      <c r="I143" t="n">
        <v>2</v>
      </c>
      <c r="J143" t="inlineStr">
        <is>
          <t>Xe máy</t>
        </is>
      </c>
    </row>
    <row r="144">
      <c r="B144" t="inlineStr">
        <is>
          <t>Nữ</t>
        </is>
      </c>
      <c r="C144" t="inlineStr">
        <is>
          <t>HE186177</t>
        </is>
      </c>
      <c r="D144" t="inlineStr">
        <is>
          <t>Công nghệ thông tin</t>
        </is>
      </c>
      <c r="E144" t="inlineStr">
        <is>
          <t>Hòa Lạc</t>
        </is>
      </c>
      <c r="F144" t="inlineStr">
        <is>
          <t>Phòng khép kín</t>
        </is>
      </c>
      <c r="G144" t="n">
        <v>5.1</v>
      </c>
      <c r="I144" t="n">
        <v>1</v>
      </c>
      <c r="J144" t="inlineStr">
        <is>
          <t>Xe buýt</t>
        </is>
      </c>
    </row>
    <row r="145">
      <c r="B145" t="inlineStr">
        <is>
          <t>Nữ</t>
        </is>
      </c>
      <c r="C145" t="inlineStr">
        <is>
          <t>HE185797</t>
        </is>
      </c>
      <c r="D145" t="inlineStr">
        <is>
          <t>Công nghệ thông tin</t>
        </is>
      </c>
      <c r="E145" t="inlineStr">
        <is>
          <t>Dom B</t>
        </is>
      </c>
      <c r="G145" t="n">
        <v>0.1</v>
      </c>
      <c r="H145" t="n">
        <v>1.1</v>
      </c>
      <c r="I145" t="n">
        <v>4</v>
      </c>
      <c r="J145" t="inlineStr">
        <is>
          <t>Đi bộ</t>
        </is>
      </c>
    </row>
    <row r="146">
      <c r="A146" t="inlineStr">
        <is>
          <t>Lê Hồng Quỳnh</t>
        </is>
      </c>
      <c r="B146" t="inlineStr">
        <is>
          <t>Nữ</t>
        </is>
      </c>
      <c r="C146" t="inlineStr">
        <is>
          <t>HE200972</t>
        </is>
      </c>
      <c r="E146" t="inlineStr">
        <is>
          <t>Hòa Lạc</t>
        </is>
      </c>
      <c r="F146" t="inlineStr">
        <is>
          <t>Phòng khép kín</t>
        </is>
      </c>
      <c r="G146" t="n">
        <v>6</v>
      </c>
      <c r="H146" t="n">
        <v>1.9</v>
      </c>
      <c r="I146" t="n">
        <v>1</v>
      </c>
      <c r="J146" t="inlineStr">
        <is>
          <t>Xe buýt</t>
        </is>
      </c>
    </row>
    <row r="147">
      <c r="A147" t="inlineStr">
        <is>
          <t>Huỳnh Ngọc Quỳnh</t>
        </is>
      </c>
      <c r="B147" t="inlineStr">
        <is>
          <t>Nữ</t>
        </is>
      </c>
      <c r="C147" t="inlineStr">
        <is>
          <t>HS218148</t>
        </is>
      </c>
      <c r="D147" t="inlineStr">
        <is>
          <t>An toàn thông tin</t>
        </is>
      </c>
      <c r="E147" t="inlineStr">
        <is>
          <t>Hòa Lạc</t>
        </is>
      </c>
      <c r="F147" t="inlineStr">
        <is>
          <t>Phòng khép kín</t>
        </is>
      </c>
      <c r="G147" t="n">
        <v>6.9</v>
      </c>
      <c r="I147" t="n">
        <v>1</v>
      </c>
      <c r="J147" t="inlineStr">
        <is>
          <t>Xe buýt</t>
        </is>
      </c>
    </row>
    <row r="148">
      <c r="A148" t="inlineStr">
        <is>
          <t>Trịnh Diệu Uyên</t>
        </is>
      </c>
      <c r="B148" t="inlineStr">
        <is>
          <t>Nữ</t>
        </is>
      </c>
      <c r="C148" t="inlineStr">
        <is>
          <t>HC180700</t>
        </is>
      </c>
      <c r="D148" t="inlineStr">
        <is>
          <t>Thiết kế mỹ thuật số</t>
        </is>
      </c>
      <c r="E148" t="inlineStr">
        <is>
          <t>Hòa Lạc</t>
        </is>
      </c>
      <c r="F148" t="inlineStr">
        <is>
          <t>Phòng khép kín</t>
        </is>
      </c>
      <c r="H148" t="n">
        <v>1.9</v>
      </c>
      <c r="I148" t="n">
        <v>2</v>
      </c>
      <c r="J148" t="inlineStr">
        <is>
          <t>Xe buýt</t>
        </is>
      </c>
    </row>
    <row r="149">
      <c r="A149" t="inlineStr">
        <is>
          <t>Lý Công Dũng</t>
        </is>
      </c>
      <c r="C149" t="inlineStr">
        <is>
          <t>HC212620</t>
        </is>
      </c>
      <c r="D149" t="inlineStr">
        <is>
          <t>Thiết kế mỹ thuật số</t>
        </is>
      </c>
      <c r="F149" t="inlineStr">
        <is>
          <t>Phòng trọ cơ bản</t>
        </is>
      </c>
      <c r="G149" t="n">
        <v>3.7</v>
      </c>
      <c r="H149" t="n">
        <v>2</v>
      </c>
      <c r="I149" t="n">
        <v>1</v>
      </c>
      <c r="J149" t="inlineStr">
        <is>
          <t>Xe máy</t>
        </is>
      </c>
    </row>
    <row r="150">
      <c r="A150" t="inlineStr">
        <is>
          <t>Bùi Mỹ Quỳnh</t>
        </is>
      </c>
      <c r="B150" t="inlineStr">
        <is>
          <t>Nữ</t>
        </is>
      </c>
      <c r="C150" t="inlineStr">
        <is>
          <t>HE219651</t>
        </is>
      </c>
      <c r="D150" t="inlineStr">
        <is>
          <t>Công nghệ thông tin</t>
        </is>
      </c>
      <c r="E150" t="inlineStr">
        <is>
          <t>Dom B</t>
        </is>
      </c>
      <c r="F150" t="inlineStr">
        <is>
          <t>Ký túc xá</t>
        </is>
      </c>
      <c r="G150" t="n">
        <v>0.5</v>
      </c>
      <c r="I150" t="n">
        <v>6</v>
      </c>
      <c r="J150" t="inlineStr">
        <is>
          <t>Đi bộ</t>
        </is>
      </c>
    </row>
    <row r="151">
      <c r="A151" t="inlineStr">
        <is>
          <t>Đỗ Quang Hải</t>
        </is>
      </c>
      <c r="B151" t="inlineStr">
        <is>
          <t>Nam</t>
        </is>
      </c>
      <c r="C151" t="inlineStr">
        <is>
          <t>HC208443</t>
        </is>
      </c>
      <c r="D151" t="inlineStr">
        <is>
          <t>Thiết kế mỹ thuật số</t>
        </is>
      </c>
      <c r="E151" t="inlineStr">
        <is>
          <t>Tân Xã</t>
        </is>
      </c>
      <c r="F151" t="inlineStr">
        <is>
          <t>Chung cư mini/Studio</t>
        </is>
      </c>
      <c r="G151" t="n">
        <v>2.1</v>
      </c>
      <c r="H151" t="n">
        <v>2.7</v>
      </c>
      <c r="I151" t="n">
        <v>3</v>
      </c>
    </row>
    <row r="152">
      <c r="A152" t="inlineStr">
        <is>
          <t>Lý Hồng Bình</t>
        </is>
      </c>
      <c r="B152" t="inlineStr">
        <is>
          <t>Nữ</t>
        </is>
      </c>
      <c r="C152" t="inlineStr">
        <is>
          <t>HC198422</t>
        </is>
      </c>
      <c r="D152" t="inlineStr">
        <is>
          <t>Thiết kế mỹ thuật số</t>
        </is>
      </c>
      <c r="E152" t="inlineStr">
        <is>
          <t>Hòa Lạc</t>
        </is>
      </c>
      <c r="G152" t="n">
        <v>6.1</v>
      </c>
      <c r="H152" t="n">
        <v>1.7</v>
      </c>
      <c r="J152" t="inlineStr">
        <is>
          <t>Xe buýt</t>
        </is>
      </c>
    </row>
    <row r="153">
      <c r="A153" t="inlineStr">
        <is>
          <t>Hoàng Xuân Cường</t>
        </is>
      </c>
      <c r="B153" t="inlineStr">
        <is>
          <t>Nam</t>
        </is>
      </c>
      <c r="C153" t="inlineStr">
        <is>
          <t>HS198571</t>
        </is>
      </c>
      <c r="D153" t="inlineStr">
        <is>
          <t>An toàn thông tin</t>
        </is>
      </c>
      <c r="E153" t="inlineStr">
        <is>
          <t>Thạch Hòa</t>
        </is>
      </c>
      <c r="F153" t="inlineStr">
        <is>
          <t>Phòng trọ cơ bản</t>
        </is>
      </c>
      <c r="G153" t="n">
        <v>3</v>
      </c>
      <c r="H153" t="n">
        <v>2.1</v>
      </c>
      <c r="I153" t="n">
        <v>1</v>
      </c>
    </row>
    <row r="154">
      <c r="A154" t="inlineStr">
        <is>
          <t>Huỳnh Khắc Giang</t>
        </is>
      </c>
      <c r="B154" t="inlineStr">
        <is>
          <t>Nam</t>
        </is>
      </c>
      <c r="C154" t="inlineStr">
        <is>
          <t>HC185672</t>
        </is>
      </c>
      <c r="D154" t="inlineStr">
        <is>
          <t>Thiết kế mỹ thuật số</t>
        </is>
      </c>
      <c r="E154" t="inlineStr">
        <is>
          <t>Tân Xã</t>
        </is>
      </c>
      <c r="F154" t="inlineStr">
        <is>
          <t>Chung cư mini/Studio</t>
        </is>
      </c>
      <c r="H154" t="n">
        <v>2.9</v>
      </c>
      <c r="J154" t="inlineStr">
        <is>
          <t>Xe máy</t>
        </is>
      </c>
    </row>
    <row r="155">
      <c r="A155" t="inlineStr">
        <is>
          <t>Hồ Minh Đăng</t>
        </is>
      </c>
      <c r="B155" t="inlineStr">
        <is>
          <t>Nam</t>
        </is>
      </c>
      <c r="C155" t="inlineStr">
        <is>
          <t>HS186924</t>
        </is>
      </c>
      <c r="D155" t="inlineStr">
        <is>
          <t>An toàn thông tin</t>
        </is>
      </c>
      <c r="E155" t="inlineStr">
        <is>
          <t>Tân Xã</t>
        </is>
      </c>
      <c r="G155" t="n">
        <v>3.2</v>
      </c>
      <c r="H155" t="n">
        <v>2.2</v>
      </c>
      <c r="I155" t="n">
        <v>1</v>
      </c>
      <c r="J155" t="inlineStr">
        <is>
          <t>Xe máy</t>
        </is>
      </c>
    </row>
    <row r="156">
      <c r="A156" t="inlineStr">
        <is>
          <t>Trịnh Công Đạt</t>
        </is>
      </c>
      <c r="B156" t="inlineStr">
        <is>
          <t>Nam</t>
        </is>
      </c>
      <c r="C156" t="inlineStr">
        <is>
          <t>HS204629</t>
        </is>
      </c>
      <c r="D156" t="inlineStr">
        <is>
          <t>An toàn thông tin</t>
        </is>
      </c>
      <c r="E156" t="inlineStr">
        <is>
          <t>Tân Xã</t>
        </is>
      </c>
      <c r="F156" t="inlineStr">
        <is>
          <t>Phòng trọ cơ bản</t>
        </is>
      </c>
      <c r="G156" t="n">
        <v>2.3</v>
      </c>
      <c r="I156" t="n">
        <v>2</v>
      </c>
      <c r="J156" t="inlineStr">
        <is>
          <t>Xe máy</t>
        </is>
      </c>
    </row>
    <row r="157">
      <c r="A157" t="inlineStr">
        <is>
          <t>Đỗ Đức Giang</t>
        </is>
      </c>
      <c r="B157" t="inlineStr">
        <is>
          <t>Nam</t>
        </is>
      </c>
      <c r="C157" t="inlineStr">
        <is>
          <t>HC208056</t>
        </is>
      </c>
      <c r="D157" t="inlineStr">
        <is>
          <t>Thiết kế mỹ thuật số</t>
        </is>
      </c>
      <c r="E157" t="inlineStr">
        <is>
          <t>Dom C</t>
        </is>
      </c>
      <c r="F157" t="inlineStr">
        <is>
          <t>Ký túc xá</t>
        </is>
      </c>
      <c r="G157" t="n">
        <v>0.6</v>
      </c>
      <c r="H157" t="n">
        <v>0.8</v>
      </c>
    </row>
    <row r="158">
      <c r="A158" t="inlineStr">
        <is>
          <t>Trần Hồng Linh</t>
        </is>
      </c>
      <c r="B158" t="inlineStr">
        <is>
          <t>Nữ</t>
        </is>
      </c>
      <c r="C158" t="inlineStr">
        <is>
          <t>HE196425</t>
        </is>
      </c>
      <c r="D158" t="inlineStr">
        <is>
          <t>Công nghệ thông tin</t>
        </is>
      </c>
      <c r="E158" t="inlineStr">
        <is>
          <t>Hòa Lạc</t>
        </is>
      </c>
      <c r="F158" t="inlineStr">
        <is>
          <t>Phòng khép kín</t>
        </is>
      </c>
      <c r="G158" t="n">
        <v>6</v>
      </c>
      <c r="H158" t="n">
        <v>1.9</v>
      </c>
      <c r="J158" t="inlineStr">
        <is>
          <t>Xe buýt</t>
        </is>
      </c>
    </row>
    <row r="159">
      <c r="A159" t="inlineStr">
        <is>
          <t>Phan Bích Sen</t>
        </is>
      </c>
      <c r="B159" t="inlineStr">
        <is>
          <t>Nữ</t>
        </is>
      </c>
      <c r="C159" t="inlineStr">
        <is>
          <t>HS218108</t>
        </is>
      </c>
      <c r="D159" t="inlineStr">
        <is>
          <t>An toàn thông tin</t>
        </is>
      </c>
      <c r="E159" t="inlineStr">
        <is>
          <t>Dom B</t>
        </is>
      </c>
      <c r="F159" t="inlineStr">
        <is>
          <t>Ký túc xá</t>
        </is>
      </c>
      <c r="G159" t="n">
        <v>0.4</v>
      </c>
      <c r="H159" t="n">
        <v>1.1</v>
      </c>
      <c r="I159" t="n">
        <v>30</v>
      </c>
      <c r="J159" t="inlineStr">
        <is>
          <t>Đi bộ</t>
        </is>
      </c>
    </row>
    <row r="160">
      <c r="A160" t="inlineStr">
        <is>
          <t>Phan Văn Long</t>
        </is>
      </c>
      <c r="B160" t="inlineStr">
        <is>
          <t>Nam</t>
        </is>
      </c>
      <c r="C160" t="inlineStr">
        <is>
          <t>HC205004</t>
        </is>
      </c>
      <c r="D160" t="inlineStr">
        <is>
          <t>Thiết kế mỹ thuật số</t>
        </is>
      </c>
      <c r="E160" t="inlineStr">
        <is>
          <t>Dom B</t>
        </is>
      </c>
      <c r="F160" t="inlineStr">
        <is>
          <t>Ký túc xá</t>
        </is>
      </c>
      <c r="G160" t="n">
        <v>0.3</v>
      </c>
      <c r="H160" t="n">
        <v>0</v>
      </c>
      <c r="I160" t="n">
        <v>4</v>
      </c>
      <c r="J160" t="inlineStr">
        <is>
          <t>Đi bộ</t>
        </is>
      </c>
    </row>
    <row r="161">
      <c r="A161" t="inlineStr">
        <is>
          <t>Hồ Diệu Hạnh</t>
        </is>
      </c>
      <c r="B161" t="inlineStr">
        <is>
          <t>Nữ</t>
        </is>
      </c>
      <c r="C161" t="inlineStr">
        <is>
          <t>HE194135</t>
        </is>
      </c>
      <c r="D161" t="inlineStr">
        <is>
          <t>Công nghệ thông tin</t>
        </is>
      </c>
      <c r="E161" t="inlineStr">
        <is>
          <t>Dom D</t>
        </is>
      </c>
      <c r="F161" t="inlineStr">
        <is>
          <t>Ký túc xá</t>
        </is>
      </c>
      <c r="G161" t="n">
        <v>0.7</v>
      </c>
      <c r="H161" t="n">
        <v>-0.8</v>
      </c>
      <c r="I161" t="n">
        <v>4</v>
      </c>
      <c r="J161" t="inlineStr">
        <is>
          <t>Đi bộ</t>
        </is>
      </c>
    </row>
    <row r="162">
      <c r="A162" t="inlineStr">
        <is>
          <t>Nguyễn Kim Trinh</t>
        </is>
      </c>
      <c r="B162" t="inlineStr">
        <is>
          <t>Nữ</t>
        </is>
      </c>
      <c r="C162" t="inlineStr">
        <is>
          <t>HE190594</t>
        </is>
      </c>
      <c r="D162" t="inlineStr">
        <is>
          <t>Công nghệ thông tin</t>
        </is>
      </c>
      <c r="E162" t="inlineStr">
        <is>
          <t>Hòa Lạc</t>
        </is>
      </c>
      <c r="F162" t="inlineStr">
        <is>
          <t>Phòng khép kín</t>
        </is>
      </c>
      <c r="G162" t="n">
        <v>6.2</v>
      </c>
      <c r="H162" t="n">
        <v>1.8</v>
      </c>
      <c r="I162" t="n">
        <v>30</v>
      </c>
      <c r="J162" t="inlineStr">
        <is>
          <t>Xe buýt</t>
        </is>
      </c>
    </row>
    <row r="163">
      <c r="A163" t="inlineStr">
        <is>
          <t>Đoàn Hồng Phương</t>
        </is>
      </c>
      <c r="B163" t="inlineStr">
        <is>
          <t>Nữ</t>
        </is>
      </c>
      <c r="C163" t="inlineStr">
        <is>
          <t>HC209088</t>
        </is>
      </c>
      <c r="D163" t="inlineStr">
        <is>
          <t>Thiết kế mỹ thuật số</t>
        </is>
      </c>
      <c r="E163" t="inlineStr">
        <is>
          <t>Hòa Lạc</t>
        </is>
      </c>
      <c r="F163" t="inlineStr">
        <is>
          <t>Phòng khép kín</t>
        </is>
      </c>
      <c r="G163" t="n">
        <v>6.8</v>
      </c>
      <c r="H163" t="n">
        <v>120</v>
      </c>
      <c r="I163" t="n">
        <v>1</v>
      </c>
      <c r="J163" t="inlineStr">
        <is>
          <t>Xe buýt</t>
        </is>
      </c>
    </row>
    <row r="164">
      <c r="A164" t="inlineStr">
        <is>
          <t>Nguyễn Diệu Cúc</t>
        </is>
      </c>
      <c r="B164" t="inlineStr">
        <is>
          <t>Nữ</t>
        </is>
      </c>
      <c r="C164" t="inlineStr">
        <is>
          <t>HA216714</t>
        </is>
      </c>
      <c r="D164" t="inlineStr">
        <is>
          <t>Quản trị kinh doanh</t>
        </is>
      </c>
      <c r="E164" t="inlineStr">
        <is>
          <t>Dom C</t>
        </is>
      </c>
      <c r="F164" t="inlineStr">
        <is>
          <t>Ký túc xá</t>
        </is>
      </c>
      <c r="G164" t="n">
        <v>999</v>
      </c>
      <c r="H164" t="n">
        <v>1.1</v>
      </c>
      <c r="I164" t="n">
        <v>4</v>
      </c>
      <c r="J164" t="inlineStr">
        <is>
          <t>Đi bộ</t>
        </is>
      </c>
    </row>
    <row r="165">
      <c r="A165" t="inlineStr">
        <is>
          <t>Dương Công Tuấn</t>
        </is>
      </c>
      <c r="B165" t="inlineStr">
        <is>
          <t>Nam</t>
        </is>
      </c>
      <c r="C165" t="inlineStr">
        <is>
          <t>HE183012</t>
        </is>
      </c>
      <c r="D165" t="inlineStr">
        <is>
          <t>Công nghệ thông tin</t>
        </is>
      </c>
      <c r="E165" t="inlineStr">
        <is>
          <t>Tân Xã</t>
        </is>
      </c>
      <c r="F165" t="inlineStr">
        <is>
          <t>Phòng trọ cơ bản</t>
        </is>
      </c>
      <c r="G165" t="n">
        <v>-0.5</v>
      </c>
      <c r="H165" t="n">
        <v>2.2</v>
      </c>
      <c r="I165" t="n">
        <v>1</v>
      </c>
      <c r="J165" t="inlineStr">
        <is>
          <t>Xe máy</t>
        </is>
      </c>
    </row>
    <row r="166">
      <c r="A166" t="inlineStr">
        <is>
          <t>Võ Quang Quân</t>
        </is>
      </c>
      <c r="B166" t="inlineStr">
        <is>
          <t>Nam</t>
        </is>
      </c>
      <c r="C166" t="inlineStr">
        <is>
          <t>HA202174</t>
        </is>
      </c>
      <c r="D166" t="inlineStr">
        <is>
          <t>Quản trị kinh doanh</t>
        </is>
      </c>
      <c r="E166" t="inlineStr">
        <is>
          <t>Dom D</t>
        </is>
      </c>
      <c r="F166" t="inlineStr">
        <is>
          <t>Ký túc xá</t>
        </is>
      </c>
      <c r="G166" t="n">
        <v>0.3</v>
      </c>
      <c r="H166" t="n">
        <v>1.1</v>
      </c>
      <c r="I166" t="n">
        <v>-3</v>
      </c>
      <c r="J166" t="inlineStr">
        <is>
          <t>Đi bộ</t>
        </is>
      </c>
    </row>
    <row r="167">
      <c r="A167" t="inlineStr">
        <is>
          <t>Bùi Thu Ngân</t>
        </is>
      </c>
      <c r="B167" t="inlineStr">
        <is>
          <t>Nữ</t>
        </is>
      </c>
      <c r="C167" t="inlineStr">
        <is>
          <t>HA184211</t>
        </is>
      </c>
      <c r="D167" t="inlineStr">
        <is>
          <t>Quản trị kinh doanh</t>
        </is>
      </c>
      <c r="E167" t="inlineStr">
        <is>
          <t>Dom C</t>
        </is>
      </c>
      <c r="F167" t="inlineStr">
        <is>
          <t>Ký túc xá</t>
        </is>
      </c>
      <c r="G167" t="n">
        <v>0.2</v>
      </c>
      <c r="H167" t="n">
        <v>85</v>
      </c>
      <c r="I167" t="n">
        <v>4</v>
      </c>
      <c r="J167" t="inlineStr">
        <is>
          <t>Đi bộ</t>
        </is>
      </c>
    </row>
    <row r="168">
      <c r="A168" t="inlineStr">
        <is>
          <t>Đỗ Xuân Đăng</t>
        </is>
      </c>
      <c r="B168" t="inlineStr">
        <is>
          <t>Nam</t>
        </is>
      </c>
      <c r="C168" t="inlineStr">
        <is>
          <t>HA192013</t>
        </is>
      </c>
      <c r="D168" t="inlineStr">
        <is>
          <t>Quản trị kinh doanh</t>
        </is>
      </c>
      <c r="E168" t="inlineStr">
        <is>
          <t>Dom D</t>
        </is>
      </c>
      <c r="F168" t="inlineStr">
        <is>
          <t>Ký túc xá</t>
        </is>
      </c>
      <c r="G168" t="n">
        <v>0.3</v>
      </c>
      <c r="H168" t="n">
        <v>99</v>
      </c>
      <c r="I168" t="n">
        <v>4</v>
      </c>
      <c r="J168" t="inlineStr">
        <is>
          <t>Đi bộ</t>
        </is>
      </c>
    </row>
    <row r="169">
      <c r="A169" t="inlineStr">
        <is>
          <t>Đỗ Diệu Hoa</t>
        </is>
      </c>
      <c r="B169" t="inlineStr">
        <is>
          <t>Nữ</t>
        </is>
      </c>
      <c r="C169" t="inlineStr">
        <is>
          <t>HC212314</t>
        </is>
      </c>
      <c r="D169" t="inlineStr">
        <is>
          <t>Thiết kế mỹ thuật số</t>
        </is>
      </c>
      <c r="E169" t="inlineStr">
        <is>
          <t>Hòa Lạc</t>
        </is>
      </c>
      <c r="F169" t="inlineStr">
        <is>
          <t>Phòng khép kín</t>
        </is>
      </c>
      <c r="G169" t="n">
        <v>-5</v>
      </c>
      <c r="H169" t="n">
        <v>1.7</v>
      </c>
      <c r="I169" t="n">
        <v>2</v>
      </c>
      <c r="J169" t="inlineStr">
        <is>
          <t>Xe buýt</t>
        </is>
      </c>
    </row>
    <row r="170">
      <c r="A170" t="inlineStr">
        <is>
          <t>Đoàn Bích Lan</t>
        </is>
      </c>
      <c r="B170" t="inlineStr">
        <is>
          <t>Nữ</t>
        </is>
      </c>
      <c r="C170" t="inlineStr">
        <is>
          <t>HC201333</t>
        </is>
      </c>
      <c r="D170" t="inlineStr">
        <is>
          <t>Thiết kế mỹ thuật số</t>
        </is>
      </c>
      <c r="E170" t="inlineStr">
        <is>
          <t>Hòa Lạc</t>
        </is>
      </c>
      <c r="F170" t="inlineStr">
        <is>
          <t>Phòng khép kín</t>
        </is>
      </c>
      <c r="G170" t="n">
        <v>9999</v>
      </c>
      <c r="H170" t="n">
        <v>1.6</v>
      </c>
      <c r="I170" t="n">
        <v>1</v>
      </c>
      <c r="J170" t="inlineStr">
        <is>
          <t>Xe buýt</t>
        </is>
      </c>
    </row>
    <row r="171">
      <c r="A171" t="inlineStr">
        <is>
          <t>Lý Mỹ Vy</t>
        </is>
      </c>
      <c r="B171" t="inlineStr">
        <is>
          <t>Nữ</t>
        </is>
      </c>
      <c r="C171" t="inlineStr">
        <is>
          <t>HE193633</t>
        </is>
      </c>
      <c r="D171" t="inlineStr">
        <is>
          <t>Công nghệ thông tin</t>
        </is>
      </c>
      <c r="E171" t="inlineStr">
        <is>
          <t>Hòa Lạc</t>
        </is>
      </c>
      <c r="F171" t="inlineStr">
        <is>
          <t>Phòng khép kín</t>
        </is>
      </c>
      <c r="G171" t="n">
        <v>6.2</v>
      </c>
      <c r="H171" t="n">
        <v>1.8</v>
      </c>
      <c r="I171" t="n">
        <v>50</v>
      </c>
      <c r="J171" t="inlineStr">
        <is>
          <t>Xe buýt</t>
        </is>
      </c>
    </row>
    <row r="172">
      <c r="A172" t="inlineStr">
        <is>
          <t>Dương Văn Đăng</t>
        </is>
      </c>
      <c r="B172" t="inlineStr">
        <is>
          <t>Nam</t>
        </is>
      </c>
      <c r="C172" t="inlineStr">
        <is>
          <t>HE212438</t>
        </is>
      </c>
      <c r="D172" t="inlineStr">
        <is>
          <t>Công nghệ thông tin</t>
        </is>
      </c>
      <c r="E172" t="inlineStr">
        <is>
          <t>Tân Xã</t>
        </is>
      </c>
      <c r="F172" t="inlineStr">
        <is>
          <t>Phòng trọ cơ bản</t>
        </is>
      </c>
      <c r="G172" t="n">
        <v>-0.5</v>
      </c>
      <c r="H172" t="n">
        <v>2.7</v>
      </c>
      <c r="I172" t="n">
        <v>2</v>
      </c>
      <c r="J172" t="inlineStr">
        <is>
          <t>Xe máy</t>
        </is>
      </c>
    </row>
    <row r="173">
      <c r="A173" t="inlineStr">
        <is>
          <t>Vũ Minh Cường</t>
        </is>
      </c>
      <c r="B173" t="inlineStr">
        <is>
          <t>Nam</t>
        </is>
      </c>
      <c r="C173" t="inlineStr">
        <is>
          <t>HC217638</t>
        </is>
      </c>
      <c r="D173" t="inlineStr">
        <is>
          <t>Thiết kế mỹ thuật số</t>
        </is>
      </c>
      <c r="E173" t="inlineStr">
        <is>
          <t>Dom B</t>
        </is>
      </c>
      <c r="F173" t="inlineStr">
        <is>
          <t>Ký túc xá</t>
        </is>
      </c>
      <c r="G173" t="n">
        <v>300</v>
      </c>
      <c r="H173" t="n">
        <v>1.1</v>
      </c>
      <c r="I173" t="n">
        <v>4</v>
      </c>
      <c r="J173" t="inlineStr">
        <is>
          <t>Đi bộ</t>
        </is>
      </c>
    </row>
    <row r="174">
      <c r="A174" t="inlineStr">
        <is>
          <t>Phùng Mỹ Trinh</t>
        </is>
      </c>
      <c r="B174" t="inlineStr">
        <is>
          <t>Nữ</t>
        </is>
      </c>
      <c r="C174" t="inlineStr">
        <is>
          <t>HE184955</t>
        </is>
      </c>
      <c r="D174" t="inlineStr">
        <is>
          <t>Công nghệ thông tin</t>
        </is>
      </c>
      <c r="E174" t="inlineStr">
        <is>
          <t>Hòa Lạc</t>
        </is>
      </c>
      <c r="F174" t="inlineStr">
        <is>
          <t>Phòng khép kín</t>
        </is>
      </c>
      <c r="G174" t="n">
        <v>5.1</v>
      </c>
      <c r="H174" t="n">
        <v>0</v>
      </c>
      <c r="I174" t="n">
        <v>1</v>
      </c>
      <c r="J174" t="inlineStr">
        <is>
          <t>Xe buýt</t>
        </is>
      </c>
    </row>
    <row r="175">
      <c r="A175" t="inlineStr">
        <is>
          <t>Phạm Quang Hùng</t>
        </is>
      </c>
      <c r="B175" t="inlineStr">
        <is>
          <t>Nam</t>
        </is>
      </c>
      <c r="C175" t="inlineStr">
        <is>
          <t>HE185851</t>
        </is>
      </c>
      <c r="D175" t="inlineStr">
        <is>
          <t>Công nghệ thông tin</t>
        </is>
      </c>
      <c r="E175" t="inlineStr">
        <is>
          <t>Tân Xã</t>
        </is>
      </c>
      <c r="F175" t="inlineStr">
        <is>
          <t>Phòng trọ cơ bản</t>
        </is>
      </c>
      <c r="G175" t="n">
        <v>3.5</v>
      </c>
      <c r="H175" t="n">
        <v>99</v>
      </c>
      <c r="I175" t="n">
        <v>2</v>
      </c>
      <c r="J175" t="inlineStr">
        <is>
          <t>Xe máy</t>
        </is>
      </c>
    </row>
    <row r="176">
      <c r="A176" t="inlineStr">
        <is>
          <t>Trịnh Thị Bình</t>
        </is>
      </c>
      <c r="B176" t="inlineStr">
        <is>
          <t>Nữ</t>
        </is>
      </c>
      <c r="C176" t="inlineStr">
        <is>
          <t>HC209953</t>
        </is>
      </c>
      <c r="D176" t="inlineStr">
        <is>
          <t>Thiết kế mỹ thuật số</t>
        </is>
      </c>
      <c r="E176" t="inlineStr">
        <is>
          <t>Dom A</t>
        </is>
      </c>
      <c r="F176" t="inlineStr">
        <is>
          <t>Ký túc xá</t>
        </is>
      </c>
      <c r="G176" t="n">
        <v>0.3</v>
      </c>
      <c r="H176" t="n">
        <v>1.1</v>
      </c>
      <c r="I176" t="n">
        <v>30</v>
      </c>
      <c r="J176" t="inlineStr">
        <is>
          <t>Đi bộ</t>
        </is>
      </c>
    </row>
    <row r="177">
      <c r="A177" t="inlineStr">
        <is>
          <t>Ngô Thị Xuân</t>
        </is>
      </c>
      <c r="B177" t="inlineStr">
        <is>
          <t>Nữ</t>
        </is>
      </c>
      <c r="C177" t="inlineStr">
        <is>
          <t>HE210886</t>
        </is>
      </c>
      <c r="D177" t="inlineStr">
        <is>
          <t>Công nghệ thông tin</t>
        </is>
      </c>
      <c r="E177" t="inlineStr">
        <is>
          <t>Dom A</t>
        </is>
      </c>
      <c r="F177" t="inlineStr">
        <is>
          <t>Ký túc xá</t>
        </is>
      </c>
      <c r="G177" t="n">
        <v>-0.5</v>
      </c>
      <c r="H177" t="n">
        <v>1.1</v>
      </c>
      <c r="I177" t="n">
        <v>4</v>
      </c>
      <c r="J177" t="inlineStr">
        <is>
          <t>Đi bộ</t>
        </is>
      </c>
    </row>
    <row r="178">
      <c r="A178" t="inlineStr">
        <is>
          <t>Huỳnh Quang Việt</t>
        </is>
      </c>
      <c r="B178" t="inlineStr">
        <is>
          <t>Nam</t>
        </is>
      </c>
      <c r="C178" t="inlineStr">
        <is>
          <t>HC204611</t>
        </is>
      </c>
      <c r="D178" t="inlineStr">
        <is>
          <t>Thiết kế mỹ thuật số</t>
        </is>
      </c>
      <c r="E178" t="inlineStr">
        <is>
          <t>Thạch Hòa</t>
        </is>
      </c>
      <c r="F178" t="inlineStr">
        <is>
          <t>Chung cư mini</t>
        </is>
      </c>
      <c r="G178" t="n">
        <v>4.4</v>
      </c>
      <c r="H178" t="n">
        <v>-0.8</v>
      </c>
      <c r="I178" t="n">
        <v>2</v>
      </c>
      <c r="J178" t="inlineStr">
        <is>
          <t>Xe máy</t>
        </is>
      </c>
    </row>
    <row r="179">
      <c r="A179" t="inlineStr">
        <is>
          <t>Trần Hồng Khánh</t>
        </is>
      </c>
      <c r="B179" t="inlineStr">
        <is>
          <t xml:space="preserve"> Nữ</t>
        </is>
      </c>
      <c r="C179" t="inlineStr">
        <is>
          <t>HE189298</t>
        </is>
      </c>
      <c r="D179" t="inlineStr">
        <is>
          <t>Công nghệ thông tin</t>
        </is>
      </c>
      <c r="E179" t="inlineStr">
        <is>
          <t>Thạch Hòa</t>
        </is>
      </c>
      <c r="F179" t="inlineStr">
        <is>
          <t>Phòng trọ cơ bản</t>
        </is>
      </c>
      <c r="G179" t="n">
        <v>4.5</v>
      </c>
      <c r="H179" t="n">
        <v>2</v>
      </c>
      <c r="I179" t="n">
        <v>1</v>
      </c>
      <c r="J179" t="inlineStr">
        <is>
          <t>Xe máy</t>
        </is>
      </c>
    </row>
    <row r="180">
      <c r="A180" t="inlineStr">
        <is>
          <t>Nguyễn Thị Hạnh</t>
        </is>
      </c>
      <c r="B180" t="inlineStr">
        <is>
          <t>Nữ</t>
        </is>
      </c>
      <c r="C180" t="inlineStr">
        <is>
          <t>HE212362</t>
        </is>
      </c>
      <c r="D180" t="inlineStr">
        <is>
          <t>Công nghệ thông tin</t>
        </is>
      </c>
      <c r="E180" t="inlineStr">
        <is>
          <t>Thạch Hòa</t>
        </is>
      </c>
      <c r="F180" t="inlineStr">
        <is>
          <t>Phòng trọ cơ bản</t>
        </is>
      </c>
      <c r="G180" t="n">
        <v>3.5</v>
      </c>
      <c r="H180" t="inlineStr">
        <is>
          <t>2,1</t>
        </is>
      </c>
      <c r="I180" t="n">
        <v>1</v>
      </c>
      <c r="J180" t="inlineStr">
        <is>
          <t>Xe máy</t>
        </is>
      </c>
    </row>
    <row r="181">
      <c r="A181" t="inlineStr">
        <is>
          <t>Huỳnh Thu Nga</t>
        </is>
      </c>
      <c r="B181" t="inlineStr">
        <is>
          <t>Nữ</t>
        </is>
      </c>
      <c r="C181" t="inlineStr">
        <is>
          <t>HC210135</t>
        </is>
      </c>
      <c r="D181" t="inlineStr">
        <is>
          <t>Thiết kế mỹ thuật số</t>
        </is>
      </c>
      <c r="E181" t="inlineStr">
        <is>
          <t>Hòa Lạc</t>
        </is>
      </c>
      <c r="F181" t="inlineStr">
        <is>
          <t>Phòng khép kín</t>
        </is>
      </c>
      <c r="G181" t="inlineStr">
        <is>
          <t>5.9km</t>
        </is>
      </c>
      <c r="H181" t="n">
        <v>1.7</v>
      </c>
      <c r="I181" t="n">
        <v>2</v>
      </c>
      <c r="J181" t="inlineStr">
        <is>
          <t>Xe buýt</t>
        </is>
      </c>
    </row>
    <row r="182">
      <c r="A182" t="inlineStr">
        <is>
          <t>Nguyễn Xuân Long</t>
        </is>
      </c>
      <c r="B182" t="inlineStr">
        <is>
          <t xml:space="preserve">Nam  </t>
        </is>
      </c>
      <c r="C182" t="inlineStr">
        <is>
          <t>HS188043</t>
        </is>
      </c>
      <c r="D182" t="inlineStr">
        <is>
          <t>An toàn thông tin</t>
        </is>
      </c>
      <c r="E182" t="inlineStr">
        <is>
          <t>Tân Xã</t>
        </is>
      </c>
      <c r="F182" t="inlineStr">
        <is>
          <t>Phòng trọ cơ bản</t>
        </is>
      </c>
      <c r="G182" t="n">
        <v>2.4</v>
      </c>
      <c r="H182" t="n">
        <v>2.3</v>
      </c>
      <c r="I182" t="n">
        <v>1</v>
      </c>
      <c r="J182" t="inlineStr">
        <is>
          <t>Xe máy</t>
        </is>
      </c>
    </row>
    <row r="183">
      <c r="A183" t="inlineStr">
        <is>
          <t>Lê Công Đăng</t>
        </is>
      </c>
      <c r="B183" t="inlineStr">
        <is>
          <t>Nam</t>
        </is>
      </c>
      <c r="C183" t="inlineStr">
        <is>
          <t>HS185116</t>
        </is>
      </c>
      <c r="D183" t="inlineStr">
        <is>
          <t>An toàn thông tin</t>
        </is>
      </c>
      <c r="E183" t="inlineStr">
        <is>
          <t>Tân Xã</t>
        </is>
      </c>
      <c r="F183" t="inlineStr">
        <is>
          <t>Phòng trọ cơ bản</t>
        </is>
      </c>
      <c r="G183" t="inlineStr">
        <is>
          <t>3,2</t>
        </is>
      </c>
      <c r="H183" t="n">
        <v>2.2</v>
      </c>
      <c r="I183" t="n">
        <v>1</v>
      </c>
      <c r="J183" t="inlineStr">
        <is>
          <t>Xe máy</t>
        </is>
      </c>
    </row>
    <row r="184">
      <c r="A184" t="inlineStr">
        <is>
          <t>Đỗ Quang Hùng</t>
        </is>
      </c>
      <c r="B184" t="inlineStr">
        <is>
          <t>Nam</t>
        </is>
      </c>
      <c r="C184" t="inlineStr">
        <is>
          <t>HE215056</t>
        </is>
      </c>
      <c r="D184" t="inlineStr">
        <is>
          <t>Công nghệ thông tin</t>
        </is>
      </c>
      <c r="E184" t="inlineStr">
        <is>
          <t>Thạch Hòa</t>
        </is>
      </c>
      <c r="F184" t="inlineStr">
        <is>
          <t>Phòng trọ cơ bản</t>
        </is>
      </c>
      <c r="G184" t="n">
        <v>3.3</v>
      </c>
      <c r="H184" t="inlineStr">
        <is>
          <t>2,2</t>
        </is>
      </c>
      <c r="I184" t="n">
        <v>1</v>
      </c>
      <c r="J184" t="inlineStr">
        <is>
          <t>Xe máy</t>
        </is>
      </c>
    </row>
    <row r="185">
      <c r="A185" t="inlineStr">
        <is>
          <t>Trần Thị Hạnh</t>
        </is>
      </c>
      <c r="B185" t="inlineStr">
        <is>
          <t>Nữ</t>
        </is>
      </c>
      <c r="C185" t="inlineStr">
        <is>
          <t>HE218890</t>
        </is>
      </c>
      <c r="D185" t="inlineStr">
        <is>
          <t>Công nghệ thông tin</t>
        </is>
      </c>
      <c r="E185" t="inlineStr">
        <is>
          <t>Dom B</t>
        </is>
      </c>
      <c r="F185" t="inlineStr">
        <is>
          <t xml:space="preserve">Ký túc xá </t>
        </is>
      </c>
      <c r="G185" t="n">
        <v>0.1</v>
      </c>
      <c r="H185" t="n">
        <v>1.1</v>
      </c>
      <c r="I185" t="n">
        <v>4</v>
      </c>
      <c r="J185" t="inlineStr">
        <is>
          <t>Đi bộ</t>
        </is>
      </c>
    </row>
    <row r="186">
      <c r="A186" t="inlineStr">
        <is>
          <t>Đoàn Thu Bình</t>
        </is>
      </c>
      <c r="B186" t="inlineStr">
        <is>
          <t>Nữ</t>
        </is>
      </c>
      <c r="C186" t="inlineStr">
        <is>
          <t>HA188719</t>
        </is>
      </c>
      <c r="D186" t="inlineStr">
        <is>
          <t>Quản trị kinh doanh</t>
        </is>
      </c>
      <c r="E186" t="inlineStr">
        <is>
          <t>Dom A</t>
        </is>
      </c>
      <c r="F186" t="inlineStr">
        <is>
          <t>Ký túc xá</t>
        </is>
      </c>
      <c r="G186" t="n">
        <v>0.2</v>
      </c>
      <c r="H186" t="inlineStr">
        <is>
          <t>1,1</t>
        </is>
      </c>
      <c r="I186" t="n">
        <v>4</v>
      </c>
      <c r="J186" t="inlineStr">
        <is>
          <t>Đi bộ</t>
        </is>
      </c>
    </row>
    <row r="187">
      <c r="A187" t="inlineStr">
        <is>
          <t>Phan Quang An</t>
        </is>
      </c>
      <c r="B187" t="inlineStr">
        <is>
          <t>Nam</t>
        </is>
      </c>
      <c r="C187" t="inlineStr">
        <is>
          <t>HE208892</t>
        </is>
      </c>
      <c r="D187" t="inlineStr">
        <is>
          <t>Công nghệ thông tin</t>
        </is>
      </c>
      <c r="E187" t="inlineStr">
        <is>
          <t>Tân Xã</t>
        </is>
      </c>
      <c r="F187" t="inlineStr">
        <is>
          <t>Phòng trọ cơ bản</t>
        </is>
      </c>
      <c r="G187" t="n">
        <v>3</v>
      </c>
      <c r="H187" t="n">
        <v>2.5</v>
      </c>
      <c r="I187" t="n">
        <v>1</v>
      </c>
      <c r="J187" t="inlineStr">
        <is>
          <t xml:space="preserve">  Xe máy</t>
        </is>
      </c>
    </row>
    <row r="188">
      <c r="A188" t="inlineStr">
        <is>
          <t>Trần Mỹ Sen</t>
        </is>
      </c>
      <c r="B188" t="inlineStr">
        <is>
          <t>Nữ</t>
        </is>
      </c>
      <c r="C188" t="inlineStr">
        <is>
          <t>he200103</t>
        </is>
      </c>
      <c r="D188" t="inlineStr">
        <is>
          <t>Công nghệ thông tin</t>
        </is>
      </c>
      <c r="E188" t="inlineStr">
        <is>
          <t>Dom A</t>
        </is>
      </c>
      <c r="F188" t="inlineStr">
        <is>
          <t>Ký túc xá</t>
        </is>
      </c>
      <c r="G188" t="n">
        <v>0.2</v>
      </c>
      <c r="H188" t="n">
        <v>0.8</v>
      </c>
      <c r="I188" t="n">
        <v>6</v>
      </c>
      <c r="J188" t="inlineStr">
        <is>
          <t>Đi bộ</t>
        </is>
      </c>
    </row>
    <row r="189">
      <c r="A189" t="inlineStr">
        <is>
          <t>Bùi Thu Khánh</t>
        </is>
      </c>
      <c r="B189" t="inlineStr">
        <is>
          <t>Nữ</t>
        </is>
      </c>
      <c r="C189" t="inlineStr">
        <is>
          <t>HA204563</t>
        </is>
      </c>
      <c r="D189" t="inlineStr">
        <is>
          <t>Quản trị kinh doanh</t>
        </is>
      </c>
      <c r="E189" t="inlineStr">
        <is>
          <t>Thạch Hòa</t>
        </is>
      </c>
      <c r="F189" t="inlineStr">
        <is>
          <t>Phòng trọ cơ bản</t>
        </is>
      </c>
      <c r="G189" t="n">
        <v>3.2</v>
      </c>
      <c r="H189" t="n">
        <v>2.1</v>
      </c>
      <c r="I189" t="n">
        <v>2</v>
      </c>
      <c r="J189" t="inlineStr">
        <is>
          <t>xe may</t>
        </is>
      </c>
    </row>
    <row r="190">
      <c r="A190" t="inlineStr">
        <is>
          <t>Trịnh Minh Phong</t>
        </is>
      </c>
      <c r="B190" t="inlineStr">
        <is>
          <t>Nam</t>
        </is>
      </c>
      <c r="C190" t="inlineStr">
        <is>
          <t>216821</t>
        </is>
      </c>
      <c r="D190" t="inlineStr">
        <is>
          <t>An toàn thông tin</t>
        </is>
      </c>
      <c r="E190" t="inlineStr">
        <is>
          <t>Thạch Hòa</t>
        </is>
      </c>
      <c r="F190" t="inlineStr">
        <is>
          <t>Phòng trọ cơ bản</t>
        </is>
      </c>
      <c r="G190" t="n">
        <v>3.6</v>
      </c>
      <c r="H190" t="n">
        <v>2</v>
      </c>
      <c r="I190" t="n">
        <v>2</v>
      </c>
      <c r="J190" t="inlineStr">
        <is>
          <t>Xe máy</t>
        </is>
      </c>
    </row>
    <row r="191">
      <c r="A191" t="inlineStr">
        <is>
          <t>Nguyễn Đức Giang</t>
        </is>
      </c>
      <c r="B191" t="inlineStr">
        <is>
          <t>M</t>
        </is>
      </c>
      <c r="C191" t="inlineStr">
        <is>
          <t>HE181365</t>
        </is>
      </c>
      <c r="D191" t="inlineStr">
        <is>
          <t>Công nghệ thông tin</t>
        </is>
      </c>
      <c r="E191" t="inlineStr">
        <is>
          <t>Tân Xã</t>
        </is>
      </c>
      <c r="F191" t="inlineStr">
        <is>
          <t>Phòng trọ cơ bản</t>
        </is>
      </c>
      <c r="G191" t="n">
        <v>4.3</v>
      </c>
      <c r="H191" t="n">
        <v>2.3</v>
      </c>
      <c r="I191" t="n">
        <v>2</v>
      </c>
      <c r="J191" t="inlineStr">
        <is>
          <t>Xe máy</t>
        </is>
      </c>
    </row>
    <row r="192">
      <c r="A192" t="inlineStr">
        <is>
          <t>Ngô Mỹ Khánh</t>
        </is>
      </c>
      <c r="B192" t="inlineStr">
        <is>
          <t>Nữ</t>
        </is>
      </c>
      <c r="C192" t="inlineStr">
        <is>
          <t>HE186807</t>
        </is>
      </c>
      <c r="D192" t="inlineStr">
        <is>
          <t>Công nghệ thông tin</t>
        </is>
      </c>
      <c r="E192" t="inlineStr">
        <is>
          <t>Dom A</t>
        </is>
      </c>
      <c r="F192" t="inlineStr">
        <is>
          <t>Ký túc xá</t>
        </is>
      </c>
      <c r="G192" t="n">
        <v>0.2</v>
      </c>
      <c r="H192" t="inlineStr">
        <is>
          <t>0.8tr</t>
        </is>
      </c>
      <c r="I192" t="n">
        <v>6</v>
      </c>
      <c r="J192" t="inlineStr">
        <is>
          <t>Đi bộ</t>
        </is>
      </c>
    </row>
    <row r="193">
      <c r="A193" t="inlineStr">
        <is>
          <t>Nguyễn Minh Phong</t>
        </is>
      </c>
      <c r="B193" t="inlineStr">
        <is>
          <t>Nam</t>
        </is>
      </c>
      <c r="C193" t="inlineStr">
        <is>
          <t>HC-195996</t>
        </is>
      </c>
      <c r="D193" t="inlineStr">
        <is>
          <t>Thiết kế mỹ thuật số</t>
        </is>
      </c>
      <c r="E193" t="inlineStr">
        <is>
          <t>Hòa Lạc</t>
        </is>
      </c>
      <c r="F193" t="inlineStr">
        <is>
          <t>Phòng khép kín</t>
        </is>
      </c>
      <c r="G193" t="n">
        <v>5.5</v>
      </c>
      <c r="H193" t="n">
        <v>1.8</v>
      </c>
      <c r="I193" t="n">
        <v>1</v>
      </c>
      <c r="J193" t="inlineStr">
        <is>
          <t>Xe buýt</t>
        </is>
      </c>
    </row>
    <row r="194">
      <c r="A194" t="inlineStr">
        <is>
          <t>Phan Đức Cường</t>
        </is>
      </c>
      <c r="B194" t="inlineStr">
        <is>
          <t>Nam</t>
        </is>
      </c>
      <c r="C194" t="inlineStr">
        <is>
          <t>HA204339</t>
        </is>
      </c>
      <c r="D194" t="inlineStr">
        <is>
          <t>Quản trị kinh doanh</t>
        </is>
      </c>
      <c r="E194" t="inlineStr">
        <is>
          <t>Thạch Hòa</t>
        </is>
      </c>
      <c r="F194" t="inlineStr">
        <is>
          <t>Phòng trọ cơ bản</t>
        </is>
      </c>
      <c r="G194" t="n">
        <v>3.1</v>
      </c>
      <c r="H194" t="inlineStr">
        <is>
          <t>2.0tr</t>
        </is>
      </c>
      <c r="I194" t="n">
        <v>1</v>
      </c>
      <c r="J194" t="inlineStr">
        <is>
          <t>Xe máy</t>
        </is>
      </c>
    </row>
    <row r="195">
      <c r="A195" t="inlineStr">
        <is>
          <t>Đặng Văn Tuấn</t>
        </is>
      </c>
      <c r="B195" t="inlineStr">
        <is>
          <t>M</t>
        </is>
      </c>
      <c r="C195" t="inlineStr">
        <is>
          <t>HE194138</t>
        </is>
      </c>
      <c r="D195" t="inlineStr">
        <is>
          <t>Công nghệ thông tin</t>
        </is>
      </c>
      <c r="E195" t="inlineStr">
        <is>
          <t>Hòa Lạc</t>
        </is>
      </c>
      <c r="F195" t="inlineStr">
        <is>
          <t>Phòng khép kín</t>
        </is>
      </c>
      <c r="G195" t="n">
        <v>6.5</v>
      </c>
      <c r="H195" t="n">
        <v>1.7</v>
      </c>
      <c r="I195" t="n">
        <v>2</v>
      </c>
      <c r="J195" t="inlineStr">
        <is>
          <t>Xe buýt</t>
        </is>
      </c>
    </row>
    <row r="196">
      <c r="A196" t="inlineStr">
        <is>
          <t>Bùi Hữu Hùng</t>
        </is>
      </c>
      <c r="B196" t="inlineStr">
        <is>
          <t>Nam</t>
        </is>
      </c>
      <c r="C196" t="inlineStr">
        <is>
          <t>HS211227</t>
        </is>
      </c>
      <c r="D196" t="inlineStr">
        <is>
          <t>An toàn thông tin</t>
        </is>
      </c>
      <c r="E196" t="inlineStr">
        <is>
          <t>Tân Xã</t>
        </is>
      </c>
      <c r="F196" t="inlineStr">
        <is>
          <t>Phòng trọ cơ bản</t>
        </is>
      </c>
      <c r="G196" t="n">
        <v>2.3</v>
      </c>
      <c r="H196" t="n">
        <v>2.3</v>
      </c>
      <c r="I196" t="n">
        <v>2</v>
      </c>
      <c r="J196" t="inlineStr">
        <is>
          <t>xe may</t>
        </is>
      </c>
    </row>
    <row r="197">
      <c r="A197" t="inlineStr">
        <is>
          <t>Hồ Diệu Ngân</t>
        </is>
      </c>
      <c r="B197" t="inlineStr">
        <is>
          <t>Nữ</t>
        </is>
      </c>
      <c r="C197" t="inlineStr">
        <is>
          <t>HS211847</t>
        </is>
      </c>
      <c r="D197" t="inlineStr">
        <is>
          <t>An toàn thông tin</t>
        </is>
      </c>
      <c r="E197" t="inlineStr">
        <is>
          <t>Dom C</t>
        </is>
      </c>
      <c r="F197" t="inlineStr">
        <is>
          <t>Ký túc xá</t>
        </is>
      </c>
      <c r="G197" t="n">
        <v>0.4</v>
      </c>
      <c r="H197" t="inlineStr">
        <is>
          <t>0,8</t>
        </is>
      </c>
      <c r="I197" t="n">
        <v>6</v>
      </c>
      <c r="J197" t="inlineStr">
        <is>
          <t>Đi bộ</t>
        </is>
      </c>
    </row>
    <row r="198">
      <c r="A198" t="inlineStr">
        <is>
          <t>Đỗ Quang Kiên</t>
        </is>
      </c>
      <c r="B198" t="inlineStr">
        <is>
          <t>nam</t>
        </is>
      </c>
      <c r="C198" t="inlineStr">
        <is>
          <t>HA190740</t>
        </is>
      </c>
      <c r="D198" t="inlineStr">
        <is>
          <t>Quản trị kinh doanh</t>
        </is>
      </c>
      <c r="E198" t="inlineStr">
        <is>
          <t>Tân Xã</t>
        </is>
      </c>
      <c r="F198" t="inlineStr">
        <is>
          <t>Phòng trọ cơ bản</t>
        </is>
      </c>
      <c r="G198" t="n">
        <v>4.3</v>
      </c>
      <c r="H198" t="n">
        <v>1.9</v>
      </c>
      <c r="I198" t="n">
        <v>2</v>
      </c>
      <c r="J198" t="inlineStr">
        <is>
          <t>Xe máy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THỐNG KÊ MÔ TẢ</t>
        </is>
      </c>
    </row>
    <row r="3">
      <c r="A3" s="3" t="inlineStr">
        <is>
          <t>Chỉ số</t>
        </is>
      </c>
      <c r="B3" s="3" t="inlineStr">
        <is>
          <t>Khoảng cách (km)</t>
        </is>
      </c>
      <c r="C3" s="3" t="inlineStr">
        <is>
          <t>Giá thuê (triệu)</t>
        </is>
      </c>
    </row>
    <row r="4">
      <c r="A4" s="4" t="inlineStr">
        <is>
          <t>Số quan sát (N)</t>
        </is>
      </c>
      <c r="B4" s="5">
        <f>COUNT(Data!$G$2:$G$198)</f>
        <v/>
      </c>
      <c r="C4" s="5">
        <f>COUNT(Data!$H$2:$H$198)</f>
        <v/>
      </c>
    </row>
    <row r="5">
      <c r="A5" s="4" t="inlineStr">
        <is>
          <t>Trung bình (Mean)</t>
        </is>
      </c>
      <c r="B5" s="5">
        <f>AVERAGE(Data!$G$2:$G$198)</f>
        <v/>
      </c>
      <c r="C5" s="5">
        <f>AVERAGE(Data!$H$2:$H$198)</f>
        <v/>
      </c>
    </row>
    <row r="6">
      <c r="A6" s="4" t="inlineStr">
        <is>
          <t>Trung vị (Median)</t>
        </is>
      </c>
      <c r="B6" s="5">
        <f>MEDIAN(Data!$G$2:$G$198)</f>
        <v/>
      </c>
      <c r="C6" s="5">
        <f>MEDIAN(Data!$H$2:$H$198)</f>
        <v/>
      </c>
    </row>
    <row r="7">
      <c r="A7" s="4" t="inlineStr">
        <is>
          <t>Độ lệch chuẩn (StDev)</t>
        </is>
      </c>
      <c r="B7" s="5">
        <f>STDEV(Data!$G$2:$G$198)</f>
        <v/>
      </c>
      <c r="C7" s="5">
        <f>STDEV(Data!$H$2:$H$198)</f>
        <v/>
      </c>
    </row>
    <row r="8">
      <c r="A8" s="4" t="inlineStr">
        <is>
          <t>Phương sai (Variance)</t>
        </is>
      </c>
      <c r="B8" s="5">
        <f>VAR(Data!$G$2:$G$198)</f>
        <v/>
      </c>
      <c r="C8" s="5">
        <f>VAR(Data!$H$2:$H$198)</f>
        <v/>
      </c>
    </row>
    <row r="9">
      <c r="A9" s="4" t="inlineStr">
        <is>
          <t>Nhỏ nhất (Min)</t>
        </is>
      </c>
      <c r="B9" s="5">
        <f>MIN(Data!$G$2:$G$198)</f>
        <v/>
      </c>
      <c r="C9" s="5">
        <f>MIN(Data!$H$2:$H$198)</f>
        <v/>
      </c>
    </row>
    <row r="10">
      <c r="A10" s="4" t="inlineStr">
        <is>
          <t>Lớn nhất (Max)</t>
        </is>
      </c>
      <c r="B10" s="5">
        <f>MAX(Data!$G$2:$G$198)</f>
        <v/>
      </c>
      <c r="C10" s="5">
        <f>MAX(Data!$H$2:$H$198)</f>
        <v/>
      </c>
    </row>
    <row r="11">
      <c r="A11" s="4" t="inlineStr">
        <is>
          <t>Khoảng biến thiên (Range)</t>
        </is>
      </c>
      <c r="B11" s="5">
        <f>MAX(Data!$G$2:$G$198)-MIN(Data!$G$2:$G$198)</f>
        <v/>
      </c>
      <c r="C11" s="5">
        <f>MAX(Data!$H$2:$H$198)-MIN(Data!$H$2:$H$198)</f>
        <v/>
      </c>
    </row>
    <row r="13">
      <c r="A13" s="4" t="inlineStr">
        <is>
          <t>Hệ số tương quan (Correlation)</t>
        </is>
      </c>
      <c r="B13" s="5">
        <f>CORREL(Data!$G$2:$G$198,Data!$H$2:$H$198)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HỒI QUY TUYẾN TÍNH ĐƠN BIẾN: Giá thuê ~ Khoảng cách</t>
        </is>
      </c>
    </row>
    <row r="2">
      <c r="D2" s="3" t="inlineStr">
        <is>
          <t>STT</t>
        </is>
      </c>
      <c r="E2" s="3" t="inlineStr">
        <is>
          <t>Khoảng cách (km)</t>
        </is>
      </c>
      <c r="F2" s="3" t="inlineStr">
        <is>
          <t>Giá thực tế</t>
        </is>
      </c>
      <c r="G2" s="3" t="inlineStr">
        <is>
          <t>Giá dự đoán</t>
        </is>
      </c>
      <c r="H2" s="3" t="inlineStr">
        <is>
          <t>Phần dư (Thực tế - Dự đoán)</t>
        </is>
      </c>
    </row>
    <row r="3">
      <c r="A3" s="4" t="inlineStr">
        <is>
          <t>Hệ số góc (Slope, β1)</t>
        </is>
      </c>
      <c r="B3" s="5">
        <f>SLOPE(Data!$H$2:$H$198,Data!$G$2:$G$198)</f>
        <v/>
      </c>
      <c r="D3" t="n">
        <v>1</v>
      </c>
      <c r="E3">
        <f>Data!G2</f>
        <v/>
      </c>
      <c r="F3">
        <f>Data!H2</f>
        <v/>
      </c>
      <c r="G3" s="5">
        <f>$B$4+$B$3*E3</f>
        <v/>
      </c>
      <c r="H3" s="5">
        <f>F3-G3</f>
        <v/>
      </c>
    </row>
    <row r="4">
      <c r="A4" s="4" t="inlineStr">
        <is>
          <t>Hệ số chặn (Intercept, β0)</t>
        </is>
      </c>
      <c r="B4" s="5">
        <f>INTERCEPT(Data!$H$2:$H$198,Data!$G$2:$G$198)</f>
        <v/>
      </c>
      <c r="D4" t="n">
        <v>2</v>
      </c>
      <c r="E4">
        <f>Data!G3</f>
        <v/>
      </c>
      <c r="F4">
        <f>Data!H3</f>
        <v/>
      </c>
      <c r="G4" s="5">
        <f>$B$4+$B$3*E4</f>
        <v/>
      </c>
      <c r="H4" s="5">
        <f>F4-G4</f>
        <v/>
      </c>
    </row>
    <row r="5">
      <c r="A5" s="4" t="inlineStr">
        <is>
          <t>Hệ số xác định (R-squared)</t>
        </is>
      </c>
      <c r="B5" s="5">
        <f>RSQ(Data!$H$2:$H$198,Data!$G$2:$G$198)</f>
        <v/>
      </c>
      <c r="D5" t="n">
        <v>3</v>
      </c>
      <c r="E5">
        <f>Data!G4</f>
        <v/>
      </c>
      <c r="F5">
        <f>Data!H4</f>
        <v/>
      </c>
      <c r="G5" s="5">
        <f>$B$4+$B$3*E5</f>
        <v/>
      </c>
      <c r="H5" s="5">
        <f>F5-G5</f>
        <v/>
      </c>
    </row>
    <row r="6">
      <c r="A6" s="4" t="inlineStr">
        <is>
          <t>Hệ số tương quan (R)</t>
        </is>
      </c>
      <c r="B6" s="5">
        <f>CORREL(Data!$G$2:$G$198,Data!$H$2:$H$198)</f>
        <v/>
      </c>
      <c r="D6" t="n">
        <v>4</v>
      </c>
      <c r="E6">
        <f>Data!G5</f>
        <v/>
      </c>
      <c r="F6">
        <f>Data!H5</f>
        <v/>
      </c>
      <c r="G6" s="5">
        <f>$B$4+$B$3*E6</f>
        <v/>
      </c>
      <c r="H6" s="5">
        <f>F6-G6</f>
        <v/>
      </c>
    </row>
    <row r="7">
      <c r="A7" s="4" t="inlineStr">
        <is>
          <t>Sai số chuẩn của ước lượng (StEyx)</t>
        </is>
      </c>
      <c r="B7" s="5">
        <f>STEYX(Data!$H$2:$H$198,Data!$G$2:$G$198)</f>
        <v/>
      </c>
      <c r="D7" t="n">
        <v>5</v>
      </c>
      <c r="E7">
        <f>Data!G6</f>
        <v/>
      </c>
      <c r="F7">
        <f>Data!H6</f>
        <v/>
      </c>
      <c r="G7" s="5">
        <f>$B$4+$B$3*E7</f>
        <v/>
      </c>
      <c r="H7" s="5">
        <f>F7-G7</f>
        <v/>
      </c>
    </row>
    <row r="8">
      <c r="D8" t="n">
        <v>6</v>
      </c>
      <c r="E8">
        <f>Data!G7</f>
        <v/>
      </c>
      <c r="F8">
        <f>Data!H7</f>
        <v/>
      </c>
      <c r="G8" s="5">
        <f>$B$4+$B$3*E8</f>
        <v/>
      </c>
      <c r="H8" s="5">
        <f>F8-G8</f>
        <v/>
      </c>
    </row>
    <row r="9">
      <c r="A9" s="4" t="inlineStr">
        <is>
          <t>Phương trình hồi quy:</t>
        </is>
      </c>
      <c r="D9" t="n">
        <v>7</v>
      </c>
      <c r="E9">
        <f>Data!G8</f>
        <v/>
      </c>
      <c r="F9">
        <f>Data!H8</f>
        <v/>
      </c>
      <c r="G9" s="5">
        <f>$B$4+$B$3*E9</f>
        <v/>
      </c>
      <c r="H9" s="5">
        <f>F9-G9</f>
        <v/>
      </c>
    </row>
    <row r="10">
      <c r="A10">
        <f>CONCATENATE("Giá thuê = ", TEXT(B4,"0.00"), " + (", TEXT(B3,"0.00"), ") * Khoảng cách")</f>
        <v/>
      </c>
      <c r="D10" t="n">
        <v>8</v>
      </c>
      <c r="E10">
        <f>Data!G9</f>
        <v/>
      </c>
      <c r="F10">
        <f>Data!H9</f>
        <v/>
      </c>
      <c r="G10" s="5">
        <f>$B$4+$B$3*E10</f>
        <v/>
      </c>
      <c r="H10" s="5">
        <f>F10-G10</f>
        <v/>
      </c>
    </row>
    <row r="11">
      <c r="D11" t="n">
        <v>9</v>
      </c>
      <c r="E11">
        <f>Data!G10</f>
        <v/>
      </c>
      <c r="F11">
        <f>Data!H10</f>
        <v/>
      </c>
      <c r="G11" s="5">
        <f>$B$4+$B$3*E11</f>
        <v/>
      </c>
      <c r="H11" s="5">
        <f>F11-G11</f>
        <v/>
      </c>
    </row>
    <row r="12">
      <c r="D12" t="n">
        <v>10</v>
      </c>
      <c r="E12">
        <f>Data!G11</f>
        <v/>
      </c>
      <c r="F12">
        <f>Data!H11</f>
        <v/>
      </c>
      <c r="G12" s="5">
        <f>$B$4+$B$3*E12</f>
        <v/>
      </c>
      <c r="H12" s="5">
        <f>F12-G12</f>
        <v/>
      </c>
    </row>
    <row r="13">
      <c r="D13" t="n">
        <v>11</v>
      </c>
      <c r="E13">
        <f>Data!G12</f>
        <v/>
      </c>
      <c r="F13">
        <f>Data!H12</f>
        <v/>
      </c>
      <c r="G13" s="5">
        <f>$B$4+$B$3*E13</f>
        <v/>
      </c>
      <c r="H13" s="5">
        <f>F13-G13</f>
        <v/>
      </c>
    </row>
    <row r="14">
      <c r="D14" t="n">
        <v>12</v>
      </c>
      <c r="E14">
        <f>Data!G13</f>
        <v/>
      </c>
      <c r="F14">
        <f>Data!H13</f>
        <v/>
      </c>
      <c r="G14" s="5">
        <f>$B$4+$B$3*E14</f>
        <v/>
      </c>
      <c r="H14" s="5">
        <f>F14-G14</f>
        <v/>
      </c>
    </row>
    <row r="15">
      <c r="D15" t="n">
        <v>13</v>
      </c>
      <c r="E15">
        <f>Data!G14</f>
        <v/>
      </c>
      <c r="F15">
        <f>Data!H14</f>
        <v/>
      </c>
      <c r="G15" s="5">
        <f>$B$4+$B$3*E15</f>
        <v/>
      </c>
      <c r="H15" s="5">
        <f>F15-G15</f>
        <v/>
      </c>
    </row>
    <row r="16">
      <c r="D16" t="n">
        <v>14</v>
      </c>
      <c r="E16">
        <f>Data!G15</f>
        <v/>
      </c>
      <c r="F16">
        <f>Data!H15</f>
        <v/>
      </c>
      <c r="G16" s="5">
        <f>$B$4+$B$3*E16</f>
        <v/>
      </c>
      <c r="H16" s="5">
        <f>F16-G16</f>
        <v/>
      </c>
    </row>
    <row r="17">
      <c r="D17" t="n">
        <v>15</v>
      </c>
      <c r="E17">
        <f>Data!G16</f>
        <v/>
      </c>
      <c r="F17">
        <f>Data!H16</f>
        <v/>
      </c>
      <c r="G17" s="5">
        <f>$B$4+$B$3*E17</f>
        <v/>
      </c>
      <c r="H17" s="5">
        <f>F17-G17</f>
        <v/>
      </c>
    </row>
    <row r="18">
      <c r="D18" t="n">
        <v>16</v>
      </c>
      <c r="E18">
        <f>Data!G17</f>
        <v/>
      </c>
      <c r="F18">
        <f>Data!H17</f>
        <v/>
      </c>
      <c r="G18" s="5">
        <f>$B$4+$B$3*E18</f>
        <v/>
      </c>
      <c r="H18" s="5">
        <f>F18-G18</f>
        <v/>
      </c>
    </row>
    <row r="19">
      <c r="D19" t="n">
        <v>17</v>
      </c>
      <c r="E19">
        <f>Data!G18</f>
        <v/>
      </c>
      <c r="F19">
        <f>Data!H18</f>
        <v/>
      </c>
      <c r="G19" s="5">
        <f>$B$4+$B$3*E19</f>
        <v/>
      </c>
      <c r="H19" s="5">
        <f>F19-G19</f>
        <v/>
      </c>
    </row>
    <row r="20">
      <c r="D20" t="n">
        <v>18</v>
      </c>
      <c r="E20">
        <f>Data!G19</f>
        <v/>
      </c>
      <c r="F20">
        <f>Data!H19</f>
        <v/>
      </c>
      <c r="G20" s="5">
        <f>$B$4+$B$3*E20</f>
        <v/>
      </c>
      <c r="H20" s="5">
        <f>F20-G20</f>
        <v/>
      </c>
    </row>
    <row r="21">
      <c r="D21" t="n">
        <v>19</v>
      </c>
      <c r="E21">
        <f>Data!G20</f>
        <v/>
      </c>
      <c r="F21">
        <f>Data!H20</f>
        <v/>
      </c>
      <c r="G21" s="5">
        <f>$B$4+$B$3*E21</f>
        <v/>
      </c>
      <c r="H21" s="5">
        <f>F21-G21</f>
        <v/>
      </c>
    </row>
    <row r="22">
      <c r="D22" t="n">
        <v>20</v>
      </c>
      <c r="E22">
        <f>Data!G21</f>
        <v/>
      </c>
      <c r="F22">
        <f>Data!H21</f>
        <v/>
      </c>
      <c r="G22" s="5">
        <f>$B$4+$B$3*E22</f>
        <v/>
      </c>
      <c r="H22" s="5">
        <f>F22-G22</f>
        <v/>
      </c>
    </row>
    <row r="23">
      <c r="D23" t="n">
        <v>21</v>
      </c>
      <c r="E23">
        <f>Data!G22</f>
        <v/>
      </c>
      <c r="F23">
        <f>Data!H22</f>
        <v/>
      </c>
      <c r="G23" s="5">
        <f>$B$4+$B$3*E23</f>
        <v/>
      </c>
      <c r="H23" s="5">
        <f>F23-G23</f>
        <v/>
      </c>
    </row>
    <row r="24">
      <c r="D24" t="n">
        <v>22</v>
      </c>
      <c r="E24">
        <f>Data!G23</f>
        <v/>
      </c>
      <c r="F24">
        <f>Data!H23</f>
        <v/>
      </c>
      <c r="G24" s="5">
        <f>$B$4+$B$3*E24</f>
        <v/>
      </c>
      <c r="H24" s="5">
        <f>F24-G24</f>
        <v/>
      </c>
    </row>
    <row r="25">
      <c r="D25" t="n">
        <v>23</v>
      </c>
      <c r="E25">
        <f>Data!G24</f>
        <v/>
      </c>
      <c r="F25">
        <f>Data!H24</f>
        <v/>
      </c>
      <c r="G25" s="5">
        <f>$B$4+$B$3*E25</f>
        <v/>
      </c>
      <c r="H25" s="5">
        <f>F25-G25</f>
        <v/>
      </c>
    </row>
    <row r="26">
      <c r="D26" t="n">
        <v>24</v>
      </c>
      <c r="E26">
        <f>Data!G25</f>
        <v/>
      </c>
      <c r="F26">
        <f>Data!H25</f>
        <v/>
      </c>
      <c r="G26" s="5">
        <f>$B$4+$B$3*E26</f>
        <v/>
      </c>
      <c r="H26" s="5">
        <f>F26-G26</f>
        <v/>
      </c>
    </row>
    <row r="27">
      <c r="D27" t="n">
        <v>25</v>
      </c>
      <c r="E27">
        <f>Data!G26</f>
        <v/>
      </c>
      <c r="F27">
        <f>Data!H26</f>
        <v/>
      </c>
      <c r="G27" s="5">
        <f>$B$4+$B$3*E27</f>
        <v/>
      </c>
      <c r="H27" s="5">
        <f>F27-G27</f>
        <v/>
      </c>
    </row>
    <row r="28">
      <c r="D28" t="n">
        <v>26</v>
      </c>
      <c r="E28">
        <f>Data!G27</f>
        <v/>
      </c>
      <c r="F28">
        <f>Data!H27</f>
        <v/>
      </c>
      <c r="G28" s="5">
        <f>$B$4+$B$3*E28</f>
        <v/>
      </c>
      <c r="H28" s="5">
        <f>F28-G28</f>
        <v/>
      </c>
    </row>
    <row r="29">
      <c r="D29" t="n">
        <v>27</v>
      </c>
      <c r="E29">
        <f>Data!G28</f>
        <v/>
      </c>
      <c r="F29">
        <f>Data!H28</f>
        <v/>
      </c>
      <c r="G29" s="5">
        <f>$B$4+$B$3*E29</f>
        <v/>
      </c>
      <c r="H29" s="5">
        <f>F29-G29</f>
        <v/>
      </c>
    </row>
    <row r="30">
      <c r="D30" t="n">
        <v>28</v>
      </c>
      <c r="E30">
        <f>Data!G29</f>
        <v/>
      </c>
      <c r="F30">
        <f>Data!H29</f>
        <v/>
      </c>
      <c r="G30" s="5">
        <f>$B$4+$B$3*E30</f>
        <v/>
      </c>
      <c r="H30" s="5">
        <f>F30-G30</f>
        <v/>
      </c>
    </row>
    <row r="31">
      <c r="D31" t="n">
        <v>29</v>
      </c>
      <c r="E31">
        <f>Data!G30</f>
        <v/>
      </c>
      <c r="F31">
        <f>Data!H30</f>
        <v/>
      </c>
      <c r="G31" s="5">
        <f>$B$4+$B$3*E31</f>
        <v/>
      </c>
      <c r="H31" s="5">
        <f>F31-G31</f>
        <v/>
      </c>
    </row>
    <row r="32">
      <c r="D32" t="n">
        <v>30</v>
      </c>
      <c r="E32">
        <f>Data!G31</f>
        <v/>
      </c>
      <c r="F32">
        <f>Data!H31</f>
        <v/>
      </c>
      <c r="G32" s="5">
        <f>$B$4+$B$3*E32</f>
        <v/>
      </c>
      <c r="H32" s="5">
        <f>F32-G32</f>
        <v/>
      </c>
    </row>
    <row r="33">
      <c r="D33" t="n">
        <v>31</v>
      </c>
      <c r="E33">
        <f>Data!G32</f>
        <v/>
      </c>
      <c r="F33">
        <f>Data!H32</f>
        <v/>
      </c>
      <c r="G33" s="5">
        <f>$B$4+$B$3*E33</f>
        <v/>
      </c>
      <c r="H33" s="5">
        <f>F33-G33</f>
        <v/>
      </c>
    </row>
    <row r="34">
      <c r="D34" t="n">
        <v>32</v>
      </c>
      <c r="E34">
        <f>Data!G33</f>
        <v/>
      </c>
      <c r="F34">
        <f>Data!H33</f>
        <v/>
      </c>
      <c r="G34" s="5">
        <f>$B$4+$B$3*E34</f>
        <v/>
      </c>
      <c r="H34" s="5">
        <f>F34-G34</f>
        <v/>
      </c>
    </row>
    <row r="35">
      <c r="D35" t="n">
        <v>33</v>
      </c>
      <c r="E35">
        <f>Data!G34</f>
        <v/>
      </c>
      <c r="F35">
        <f>Data!H34</f>
        <v/>
      </c>
      <c r="G35" s="5">
        <f>$B$4+$B$3*E35</f>
        <v/>
      </c>
      <c r="H35" s="5">
        <f>F35-G35</f>
        <v/>
      </c>
    </row>
    <row r="36">
      <c r="D36" t="n">
        <v>34</v>
      </c>
      <c r="E36">
        <f>Data!G35</f>
        <v/>
      </c>
      <c r="F36">
        <f>Data!H35</f>
        <v/>
      </c>
      <c r="G36" s="5">
        <f>$B$4+$B$3*E36</f>
        <v/>
      </c>
      <c r="H36" s="5">
        <f>F36-G36</f>
        <v/>
      </c>
    </row>
    <row r="37">
      <c r="D37" t="n">
        <v>35</v>
      </c>
      <c r="E37">
        <f>Data!G36</f>
        <v/>
      </c>
      <c r="F37">
        <f>Data!H36</f>
        <v/>
      </c>
      <c r="G37" s="5">
        <f>$B$4+$B$3*E37</f>
        <v/>
      </c>
      <c r="H37" s="5">
        <f>F37-G37</f>
        <v/>
      </c>
    </row>
    <row r="38">
      <c r="D38" t="n">
        <v>36</v>
      </c>
      <c r="E38">
        <f>Data!G37</f>
        <v/>
      </c>
      <c r="F38">
        <f>Data!H37</f>
        <v/>
      </c>
      <c r="G38" s="5">
        <f>$B$4+$B$3*E38</f>
        <v/>
      </c>
      <c r="H38" s="5">
        <f>F38-G38</f>
        <v/>
      </c>
    </row>
    <row r="39">
      <c r="D39" t="n">
        <v>37</v>
      </c>
      <c r="E39">
        <f>Data!G38</f>
        <v/>
      </c>
      <c r="F39">
        <f>Data!H38</f>
        <v/>
      </c>
      <c r="G39" s="5">
        <f>$B$4+$B$3*E39</f>
        <v/>
      </c>
      <c r="H39" s="5">
        <f>F39-G39</f>
        <v/>
      </c>
    </row>
    <row r="40">
      <c r="D40" t="n">
        <v>38</v>
      </c>
      <c r="E40">
        <f>Data!G39</f>
        <v/>
      </c>
      <c r="F40">
        <f>Data!H39</f>
        <v/>
      </c>
      <c r="G40" s="5">
        <f>$B$4+$B$3*E40</f>
        <v/>
      </c>
      <c r="H40" s="5">
        <f>F40-G40</f>
        <v/>
      </c>
    </row>
    <row r="41">
      <c r="D41" t="n">
        <v>39</v>
      </c>
      <c r="E41">
        <f>Data!G40</f>
        <v/>
      </c>
      <c r="F41">
        <f>Data!H40</f>
        <v/>
      </c>
      <c r="G41" s="5">
        <f>$B$4+$B$3*E41</f>
        <v/>
      </c>
      <c r="H41" s="5">
        <f>F41-G41</f>
        <v/>
      </c>
    </row>
    <row r="42">
      <c r="D42" t="n">
        <v>40</v>
      </c>
      <c r="E42">
        <f>Data!G41</f>
        <v/>
      </c>
      <c r="F42">
        <f>Data!H41</f>
        <v/>
      </c>
      <c r="G42" s="5">
        <f>$B$4+$B$3*E42</f>
        <v/>
      </c>
      <c r="H42" s="5">
        <f>F42-G42</f>
        <v/>
      </c>
    </row>
    <row r="43">
      <c r="D43" t="n">
        <v>41</v>
      </c>
      <c r="E43">
        <f>Data!G42</f>
        <v/>
      </c>
      <c r="F43">
        <f>Data!H42</f>
        <v/>
      </c>
      <c r="G43" s="5">
        <f>$B$4+$B$3*E43</f>
        <v/>
      </c>
      <c r="H43" s="5">
        <f>F43-G43</f>
        <v/>
      </c>
    </row>
    <row r="44">
      <c r="D44" t="n">
        <v>42</v>
      </c>
      <c r="E44">
        <f>Data!G43</f>
        <v/>
      </c>
      <c r="F44">
        <f>Data!H43</f>
        <v/>
      </c>
      <c r="G44" s="5">
        <f>$B$4+$B$3*E44</f>
        <v/>
      </c>
      <c r="H44" s="5">
        <f>F44-G44</f>
        <v/>
      </c>
    </row>
    <row r="45">
      <c r="D45" t="n">
        <v>43</v>
      </c>
      <c r="E45">
        <f>Data!G44</f>
        <v/>
      </c>
      <c r="F45">
        <f>Data!H44</f>
        <v/>
      </c>
      <c r="G45" s="5">
        <f>$B$4+$B$3*E45</f>
        <v/>
      </c>
      <c r="H45" s="5">
        <f>F45-G45</f>
        <v/>
      </c>
    </row>
    <row r="46">
      <c r="D46" t="n">
        <v>44</v>
      </c>
      <c r="E46">
        <f>Data!G45</f>
        <v/>
      </c>
      <c r="F46">
        <f>Data!H45</f>
        <v/>
      </c>
      <c r="G46" s="5">
        <f>$B$4+$B$3*E46</f>
        <v/>
      </c>
      <c r="H46" s="5">
        <f>F46-G46</f>
        <v/>
      </c>
    </row>
    <row r="47">
      <c r="D47" t="n">
        <v>45</v>
      </c>
      <c r="E47">
        <f>Data!G46</f>
        <v/>
      </c>
      <c r="F47">
        <f>Data!H46</f>
        <v/>
      </c>
      <c r="G47" s="5">
        <f>$B$4+$B$3*E47</f>
        <v/>
      </c>
      <c r="H47" s="5">
        <f>F47-G47</f>
        <v/>
      </c>
    </row>
    <row r="48">
      <c r="D48" t="n">
        <v>46</v>
      </c>
      <c r="E48">
        <f>Data!G47</f>
        <v/>
      </c>
      <c r="F48">
        <f>Data!H47</f>
        <v/>
      </c>
      <c r="G48" s="5">
        <f>$B$4+$B$3*E48</f>
        <v/>
      </c>
      <c r="H48" s="5">
        <f>F48-G48</f>
        <v/>
      </c>
    </row>
    <row r="49">
      <c r="D49" t="n">
        <v>47</v>
      </c>
      <c r="E49">
        <f>Data!G48</f>
        <v/>
      </c>
      <c r="F49">
        <f>Data!H48</f>
        <v/>
      </c>
      <c r="G49" s="5">
        <f>$B$4+$B$3*E49</f>
        <v/>
      </c>
      <c r="H49" s="5">
        <f>F49-G49</f>
        <v/>
      </c>
    </row>
    <row r="50">
      <c r="D50" t="n">
        <v>48</v>
      </c>
      <c r="E50">
        <f>Data!G49</f>
        <v/>
      </c>
      <c r="F50">
        <f>Data!H49</f>
        <v/>
      </c>
      <c r="G50" s="5">
        <f>$B$4+$B$3*E50</f>
        <v/>
      </c>
      <c r="H50" s="5">
        <f>F50-G50</f>
        <v/>
      </c>
    </row>
    <row r="51">
      <c r="D51" t="n">
        <v>49</v>
      </c>
      <c r="E51">
        <f>Data!G50</f>
        <v/>
      </c>
      <c r="F51">
        <f>Data!H50</f>
        <v/>
      </c>
      <c r="G51" s="5">
        <f>$B$4+$B$3*E51</f>
        <v/>
      </c>
      <c r="H51" s="5">
        <f>F51-G51</f>
        <v/>
      </c>
    </row>
    <row r="52">
      <c r="D52" t="n">
        <v>50</v>
      </c>
      <c r="E52">
        <f>Data!G51</f>
        <v/>
      </c>
      <c r="F52">
        <f>Data!H51</f>
        <v/>
      </c>
      <c r="G52" s="5">
        <f>$B$4+$B$3*E52</f>
        <v/>
      </c>
      <c r="H52" s="5">
        <f>F52-G52</f>
        <v/>
      </c>
    </row>
    <row r="53">
      <c r="D53" t="n">
        <v>51</v>
      </c>
      <c r="E53">
        <f>Data!G52</f>
        <v/>
      </c>
      <c r="F53">
        <f>Data!H52</f>
        <v/>
      </c>
      <c r="G53" s="5">
        <f>$B$4+$B$3*E53</f>
        <v/>
      </c>
      <c r="H53" s="5">
        <f>F53-G53</f>
        <v/>
      </c>
    </row>
    <row r="54">
      <c r="D54" t="n">
        <v>52</v>
      </c>
      <c r="E54">
        <f>Data!G53</f>
        <v/>
      </c>
      <c r="F54">
        <f>Data!H53</f>
        <v/>
      </c>
      <c r="G54" s="5">
        <f>$B$4+$B$3*E54</f>
        <v/>
      </c>
      <c r="H54" s="5">
        <f>F54-G54</f>
        <v/>
      </c>
    </row>
    <row r="55">
      <c r="D55" t="n">
        <v>53</v>
      </c>
      <c r="E55">
        <f>Data!G54</f>
        <v/>
      </c>
      <c r="F55">
        <f>Data!H54</f>
        <v/>
      </c>
      <c r="G55" s="5">
        <f>$B$4+$B$3*E55</f>
        <v/>
      </c>
      <c r="H55" s="5">
        <f>F55-G55</f>
        <v/>
      </c>
    </row>
    <row r="56">
      <c r="D56" t="n">
        <v>54</v>
      </c>
      <c r="E56">
        <f>Data!G55</f>
        <v/>
      </c>
      <c r="F56">
        <f>Data!H55</f>
        <v/>
      </c>
      <c r="G56" s="5">
        <f>$B$4+$B$3*E56</f>
        <v/>
      </c>
      <c r="H56" s="5">
        <f>F56-G56</f>
        <v/>
      </c>
    </row>
    <row r="57">
      <c r="D57" t="n">
        <v>55</v>
      </c>
      <c r="E57">
        <f>Data!G56</f>
        <v/>
      </c>
      <c r="F57">
        <f>Data!H56</f>
        <v/>
      </c>
      <c r="G57" s="5">
        <f>$B$4+$B$3*E57</f>
        <v/>
      </c>
      <c r="H57" s="5">
        <f>F57-G57</f>
        <v/>
      </c>
    </row>
    <row r="58">
      <c r="D58" t="n">
        <v>56</v>
      </c>
      <c r="E58">
        <f>Data!G57</f>
        <v/>
      </c>
      <c r="F58">
        <f>Data!H57</f>
        <v/>
      </c>
      <c r="G58" s="5">
        <f>$B$4+$B$3*E58</f>
        <v/>
      </c>
      <c r="H58" s="5">
        <f>F58-G58</f>
        <v/>
      </c>
    </row>
    <row r="59">
      <c r="D59" t="n">
        <v>57</v>
      </c>
      <c r="E59">
        <f>Data!G58</f>
        <v/>
      </c>
      <c r="F59">
        <f>Data!H58</f>
        <v/>
      </c>
      <c r="G59" s="5">
        <f>$B$4+$B$3*E59</f>
        <v/>
      </c>
      <c r="H59" s="5">
        <f>F59-G59</f>
        <v/>
      </c>
    </row>
    <row r="60">
      <c r="D60" t="n">
        <v>58</v>
      </c>
      <c r="E60">
        <f>Data!G59</f>
        <v/>
      </c>
      <c r="F60">
        <f>Data!H59</f>
        <v/>
      </c>
      <c r="G60" s="5">
        <f>$B$4+$B$3*E60</f>
        <v/>
      </c>
      <c r="H60" s="5">
        <f>F60-G60</f>
        <v/>
      </c>
    </row>
    <row r="61">
      <c r="D61" t="n">
        <v>59</v>
      </c>
      <c r="E61">
        <f>Data!G60</f>
        <v/>
      </c>
      <c r="F61">
        <f>Data!H60</f>
        <v/>
      </c>
      <c r="G61" s="5">
        <f>$B$4+$B$3*E61</f>
        <v/>
      </c>
      <c r="H61" s="5">
        <f>F61-G61</f>
        <v/>
      </c>
    </row>
    <row r="62">
      <c r="D62" t="n">
        <v>60</v>
      </c>
      <c r="E62">
        <f>Data!G61</f>
        <v/>
      </c>
      <c r="F62">
        <f>Data!H61</f>
        <v/>
      </c>
      <c r="G62" s="5">
        <f>$B$4+$B$3*E62</f>
        <v/>
      </c>
      <c r="H62" s="5">
        <f>F62-G62</f>
        <v/>
      </c>
    </row>
    <row r="63">
      <c r="D63" t="n">
        <v>61</v>
      </c>
      <c r="E63">
        <f>Data!G62</f>
        <v/>
      </c>
      <c r="F63">
        <f>Data!H62</f>
        <v/>
      </c>
      <c r="G63" s="5">
        <f>$B$4+$B$3*E63</f>
        <v/>
      </c>
      <c r="H63" s="5">
        <f>F63-G63</f>
        <v/>
      </c>
    </row>
    <row r="64">
      <c r="D64" t="n">
        <v>62</v>
      </c>
      <c r="E64">
        <f>Data!G63</f>
        <v/>
      </c>
      <c r="F64">
        <f>Data!H63</f>
        <v/>
      </c>
      <c r="G64" s="5">
        <f>$B$4+$B$3*E64</f>
        <v/>
      </c>
      <c r="H64" s="5">
        <f>F64-G64</f>
        <v/>
      </c>
    </row>
    <row r="65">
      <c r="D65" t="n">
        <v>63</v>
      </c>
      <c r="E65">
        <f>Data!G64</f>
        <v/>
      </c>
      <c r="F65">
        <f>Data!H64</f>
        <v/>
      </c>
      <c r="G65" s="5">
        <f>$B$4+$B$3*E65</f>
        <v/>
      </c>
      <c r="H65" s="5">
        <f>F65-G65</f>
        <v/>
      </c>
    </row>
    <row r="66">
      <c r="D66" t="n">
        <v>64</v>
      </c>
      <c r="E66">
        <f>Data!G65</f>
        <v/>
      </c>
      <c r="F66">
        <f>Data!H65</f>
        <v/>
      </c>
      <c r="G66" s="5">
        <f>$B$4+$B$3*E66</f>
        <v/>
      </c>
      <c r="H66" s="5">
        <f>F66-G66</f>
        <v/>
      </c>
    </row>
    <row r="67">
      <c r="D67" t="n">
        <v>65</v>
      </c>
      <c r="E67">
        <f>Data!G66</f>
        <v/>
      </c>
      <c r="F67">
        <f>Data!H66</f>
        <v/>
      </c>
      <c r="G67" s="5">
        <f>$B$4+$B$3*E67</f>
        <v/>
      </c>
      <c r="H67" s="5">
        <f>F67-G67</f>
        <v/>
      </c>
    </row>
    <row r="68">
      <c r="D68" t="n">
        <v>66</v>
      </c>
      <c r="E68">
        <f>Data!G67</f>
        <v/>
      </c>
      <c r="F68">
        <f>Data!H67</f>
        <v/>
      </c>
      <c r="G68" s="5">
        <f>$B$4+$B$3*E68</f>
        <v/>
      </c>
      <c r="H68" s="5">
        <f>F68-G68</f>
        <v/>
      </c>
    </row>
    <row r="69">
      <c r="D69" t="n">
        <v>67</v>
      </c>
      <c r="E69">
        <f>Data!G68</f>
        <v/>
      </c>
      <c r="F69">
        <f>Data!H68</f>
        <v/>
      </c>
      <c r="G69" s="5">
        <f>$B$4+$B$3*E69</f>
        <v/>
      </c>
      <c r="H69" s="5">
        <f>F69-G69</f>
        <v/>
      </c>
    </row>
    <row r="70">
      <c r="D70" t="n">
        <v>68</v>
      </c>
      <c r="E70">
        <f>Data!G69</f>
        <v/>
      </c>
      <c r="F70">
        <f>Data!H69</f>
        <v/>
      </c>
      <c r="G70" s="5">
        <f>$B$4+$B$3*E70</f>
        <v/>
      </c>
      <c r="H70" s="5">
        <f>F70-G70</f>
        <v/>
      </c>
    </row>
    <row r="71">
      <c r="D71" t="n">
        <v>69</v>
      </c>
      <c r="E71">
        <f>Data!G70</f>
        <v/>
      </c>
      <c r="F71">
        <f>Data!H70</f>
        <v/>
      </c>
      <c r="G71" s="5">
        <f>$B$4+$B$3*E71</f>
        <v/>
      </c>
      <c r="H71" s="5">
        <f>F71-G71</f>
        <v/>
      </c>
    </row>
    <row r="72">
      <c r="D72" t="n">
        <v>70</v>
      </c>
      <c r="E72">
        <f>Data!G71</f>
        <v/>
      </c>
      <c r="F72">
        <f>Data!H71</f>
        <v/>
      </c>
      <c r="G72" s="5">
        <f>$B$4+$B$3*E72</f>
        <v/>
      </c>
      <c r="H72" s="5">
        <f>F72-G72</f>
        <v/>
      </c>
    </row>
    <row r="73">
      <c r="D73" t="n">
        <v>71</v>
      </c>
      <c r="E73">
        <f>Data!G72</f>
        <v/>
      </c>
      <c r="F73">
        <f>Data!H72</f>
        <v/>
      </c>
      <c r="G73" s="5">
        <f>$B$4+$B$3*E73</f>
        <v/>
      </c>
      <c r="H73" s="5">
        <f>F73-G73</f>
        <v/>
      </c>
    </row>
    <row r="74">
      <c r="D74" t="n">
        <v>72</v>
      </c>
      <c r="E74">
        <f>Data!G73</f>
        <v/>
      </c>
      <c r="F74">
        <f>Data!H73</f>
        <v/>
      </c>
      <c r="G74" s="5">
        <f>$B$4+$B$3*E74</f>
        <v/>
      </c>
      <c r="H74" s="5">
        <f>F74-G74</f>
        <v/>
      </c>
    </row>
    <row r="75">
      <c r="D75" t="n">
        <v>73</v>
      </c>
      <c r="E75">
        <f>Data!G74</f>
        <v/>
      </c>
      <c r="F75">
        <f>Data!H74</f>
        <v/>
      </c>
      <c r="G75" s="5">
        <f>$B$4+$B$3*E75</f>
        <v/>
      </c>
      <c r="H75" s="5">
        <f>F75-G75</f>
        <v/>
      </c>
    </row>
    <row r="76">
      <c r="D76" t="n">
        <v>74</v>
      </c>
      <c r="E76">
        <f>Data!G75</f>
        <v/>
      </c>
      <c r="F76">
        <f>Data!H75</f>
        <v/>
      </c>
      <c r="G76" s="5">
        <f>$B$4+$B$3*E76</f>
        <v/>
      </c>
      <c r="H76" s="5">
        <f>F76-G76</f>
        <v/>
      </c>
    </row>
    <row r="77">
      <c r="D77" t="n">
        <v>75</v>
      </c>
      <c r="E77">
        <f>Data!G76</f>
        <v/>
      </c>
      <c r="F77">
        <f>Data!H76</f>
        <v/>
      </c>
      <c r="G77" s="5">
        <f>$B$4+$B$3*E77</f>
        <v/>
      </c>
      <c r="H77" s="5">
        <f>F77-G77</f>
        <v/>
      </c>
    </row>
    <row r="78">
      <c r="D78" t="n">
        <v>76</v>
      </c>
      <c r="E78">
        <f>Data!G77</f>
        <v/>
      </c>
      <c r="F78">
        <f>Data!H77</f>
        <v/>
      </c>
      <c r="G78" s="5">
        <f>$B$4+$B$3*E78</f>
        <v/>
      </c>
      <c r="H78" s="5">
        <f>F78-G78</f>
        <v/>
      </c>
    </row>
    <row r="79">
      <c r="D79" t="n">
        <v>77</v>
      </c>
      <c r="E79">
        <f>Data!G78</f>
        <v/>
      </c>
      <c r="F79">
        <f>Data!H78</f>
        <v/>
      </c>
      <c r="G79" s="5">
        <f>$B$4+$B$3*E79</f>
        <v/>
      </c>
      <c r="H79" s="5">
        <f>F79-G79</f>
        <v/>
      </c>
    </row>
    <row r="80">
      <c r="D80" t="n">
        <v>78</v>
      </c>
      <c r="E80">
        <f>Data!G79</f>
        <v/>
      </c>
      <c r="F80">
        <f>Data!H79</f>
        <v/>
      </c>
      <c r="G80" s="5">
        <f>$B$4+$B$3*E80</f>
        <v/>
      </c>
      <c r="H80" s="5">
        <f>F80-G80</f>
        <v/>
      </c>
    </row>
    <row r="81">
      <c r="D81" t="n">
        <v>79</v>
      </c>
      <c r="E81">
        <f>Data!G80</f>
        <v/>
      </c>
      <c r="F81">
        <f>Data!H80</f>
        <v/>
      </c>
      <c r="G81" s="5">
        <f>$B$4+$B$3*E81</f>
        <v/>
      </c>
      <c r="H81" s="5">
        <f>F81-G81</f>
        <v/>
      </c>
    </row>
    <row r="82">
      <c r="D82" t="n">
        <v>80</v>
      </c>
      <c r="E82">
        <f>Data!G81</f>
        <v/>
      </c>
      <c r="F82">
        <f>Data!H81</f>
        <v/>
      </c>
      <c r="G82" s="5">
        <f>$B$4+$B$3*E82</f>
        <v/>
      </c>
      <c r="H82" s="5">
        <f>F82-G82</f>
        <v/>
      </c>
    </row>
    <row r="83">
      <c r="D83" t="n">
        <v>81</v>
      </c>
      <c r="E83">
        <f>Data!G82</f>
        <v/>
      </c>
      <c r="F83">
        <f>Data!H82</f>
        <v/>
      </c>
      <c r="G83" s="5">
        <f>$B$4+$B$3*E83</f>
        <v/>
      </c>
      <c r="H83" s="5">
        <f>F83-G83</f>
        <v/>
      </c>
    </row>
    <row r="84">
      <c r="D84" t="n">
        <v>82</v>
      </c>
      <c r="E84">
        <f>Data!G83</f>
        <v/>
      </c>
      <c r="F84">
        <f>Data!H83</f>
        <v/>
      </c>
      <c r="G84" s="5">
        <f>$B$4+$B$3*E84</f>
        <v/>
      </c>
      <c r="H84" s="5">
        <f>F84-G84</f>
        <v/>
      </c>
    </row>
    <row r="85">
      <c r="D85" t="n">
        <v>83</v>
      </c>
      <c r="E85">
        <f>Data!G84</f>
        <v/>
      </c>
      <c r="F85">
        <f>Data!H84</f>
        <v/>
      </c>
      <c r="G85" s="5">
        <f>$B$4+$B$3*E85</f>
        <v/>
      </c>
      <c r="H85" s="5">
        <f>F85-G85</f>
        <v/>
      </c>
    </row>
    <row r="86">
      <c r="D86" t="n">
        <v>84</v>
      </c>
      <c r="E86">
        <f>Data!G85</f>
        <v/>
      </c>
      <c r="F86">
        <f>Data!H85</f>
        <v/>
      </c>
      <c r="G86" s="5">
        <f>$B$4+$B$3*E86</f>
        <v/>
      </c>
      <c r="H86" s="5">
        <f>F86-G86</f>
        <v/>
      </c>
    </row>
    <row r="87">
      <c r="D87" t="n">
        <v>85</v>
      </c>
      <c r="E87">
        <f>Data!G86</f>
        <v/>
      </c>
      <c r="F87">
        <f>Data!H86</f>
        <v/>
      </c>
      <c r="G87" s="5">
        <f>$B$4+$B$3*E87</f>
        <v/>
      </c>
      <c r="H87" s="5">
        <f>F87-G87</f>
        <v/>
      </c>
    </row>
    <row r="88">
      <c r="D88" t="n">
        <v>86</v>
      </c>
      <c r="E88">
        <f>Data!G87</f>
        <v/>
      </c>
      <c r="F88">
        <f>Data!H87</f>
        <v/>
      </c>
      <c r="G88" s="5">
        <f>$B$4+$B$3*E88</f>
        <v/>
      </c>
      <c r="H88" s="5">
        <f>F88-G88</f>
        <v/>
      </c>
    </row>
    <row r="89">
      <c r="D89" t="n">
        <v>87</v>
      </c>
      <c r="E89">
        <f>Data!G88</f>
        <v/>
      </c>
      <c r="F89">
        <f>Data!H88</f>
        <v/>
      </c>
      <c r="G89" s="5">
        <f>$B$4+$B$3*E89</f>
        <v/>
      </c>
      <c r="H89" s="5">
        <f>F89-G89</f>
        <v/>
      </c>
    </row>
    <row r="90">
      <c r="D90" t="n">
        <v>88</v>
      </c>
      <c r="E90">
        <f>Data!G89</f>
        <v/>
      </c>
      <c r="F90">
        <f>Data!H89</f>
        <v/>
      </c>
      <c r="G90" s="5">
        <f>$B$4+$B$3*E90</f>
        <v/>
      </c>
      <c r="H90" s="5">
        <f>F90-G90</f>
        <v/>
      </c>
    </row>
    <row r="91">
      <c r="D91" t="n">
        <v>89</v>
      </c>
      <c r="E91">
        <f>Data!G90</f>
        <v/>
      </c>
      <c r="F91">
        <f>Data!H90</f>
        <v/>
      </c>
      <c r="G91" s="5">
        <f>$B$4+$B$3*E91</f>
        <v/>
      </c>
      <c r="H91" s="5">
        <f>F91-G91</f>
        <v/>
      </c>
    </row>
    <row r="92">
      <c r="D92" t="n">
        <v>90</v>
      </c>
      <c r="E92">
        <f>Data!G91</f>
        <v/>
      </c>
      <c r="F92">
        <f>Data!H91</f>
        <v/>
      </c>
      <c r="G92" s="5">
        <f>$B$4+$B$3*E92</f>
        <v/>
      </c>
      <c r="H92" s="5">
        <f>F92-G92</f>
        <v/>
      </c>
    </row>
    <row r="93">
      <c r="D93" t="n">
        <v>91</v>
      </c>
      <c r="E93">
        <f>Data!G92</f>
        <v/>
      </c>
      <c r="F93">
        <f>Data!H92</f>
        <v/>
      </c>
      <c r="G93" s="5">
        <f>$B$4+$B$3*E93</f>
        <v/>
      </c>
      <c r="H93" s="5">
        <f>F93-G93</f>
        <v/>
      </c>
    </row>
    <row r="94">
      <c r="D94" t="n">
        <v>92</v>
      </c>
      <c r="E94">
        <f>Data!G93</f>
        <v/>
      </c>
      <c r="F94">
        <f>Data!H93</f>
        <v/>
      </c>
      <c r="G94" s="5">
        <f>$B$4+$B$3*E94</f>
        <v/>
      </c>
      <c r="H94" s="5">
        <f>F94-G94</f>
        <v/>
      </c>
    </row>
    <row r="95">
      <c r="D95" t="n">
        <v>93</v>
      </c>
      <c r="E95">
        <f>Data!G94</f>
        <v/>
      </c>
      <c r="F95">
        <f>Data!H94</f>
        <v/>
      </c>
      <c r="G95" s="5">
        <f>$B$4+$B$3*E95</f>
        <v/>
      </c>
      <c r="H95" s="5">
        <f>F95-G95</f>
        <v/>
      </c>
    </row>
    <row r="96">
      <c r="D96" t="n">
        <v>94</v>
      </c>
      <c r="E96">
        <f>Data!G95</f>
        <v/>
      </c>
      <c r="F96">
        <f>Data!H95</f>
        <v/>
      </c>
      <c r="G96" s="5">
        <f>$B$4+$B$3*E96</f>
        <v/>
      </c>
      <c r="H96" s="5">
        <f>F96-G96</f>
        <v/>
      </c>
    </row>
    <row r="97">
      <c r="D97" t="n">
        <v>95</v>
      </c>
      <c r="E97">
        <f>Data!G96</f>
        <v/>
      </c>
      <c r="F97">
        <f>Data!H96</f>
        <v/>
      </c>
      <c r="G97" s="5">
        <f>$B$4+$B$3*E97</f>
        <v/>
      </c>
      <c r="H97" s="5">
        <f>F97-G97</f>
        <v/>
      </c>
    </row>
    <row r="98">
      <c r="D98" t="n">
        <v>96</v>
      </c>
      <c r="E98">
        <f>Data!G97</f>
        <v/>
      </c>
      <c r="F98">
        <f>Data!H97</f>
        <v/>
      </c>
      <c r="G98" s="5">
        <f>$B$4+$B$3*E98</f>
        <v/>
      </c>
      <c r="H98" s="5">
        <f>F98-G98</f>
        <v/>
      </c>
    </row>
    <row r="99">
      <c r="D99" t="n">
        <v>97</v>
      </c>
      <c r="E99">
        <f>Data!G98</f>
        <v/>
      </c>
      <c r="F99">
        <f>Data!H98</f>
        <v/>
      </c>
      <c r="G99" s="5">
        <f>$B$4+$B$3*E99</f>
        <v/>
      </c>
      <c r="H99" s="5">
        <f>F99-G99</f>
        <v/>
      </c>
    </row>
    <row r="100">
      <c r="D100" t="n">
        <v>98</v>
      </c>
      <c r="E100">
        <f>Data!G99</f>
        <v/>
      </c>
      <c r="F100">
        <f>Data!H99</f>
        <v/>
      </c>
      <c r="G100" s="5">
        <f>$B$4+$B$3*E100</f>
        <v/>
      </c>
      <c r="H100" s="5">
        <f>F100-G100</f>
        <v/>
      </c>
    </row>
    <row r="101">
      <c r="D101" t="n">
        <v>99</v>
      </c>
      <c r="E101">
        <f>Data!G100</f>
        <v/>
      </c>
      <c r="F101">
        <f>Data!H100</f>
        <v/>
      </c>
      <c r="G101" s="5">
        <f>$B$4+$B$3*E101</f>
        <v/>
      </c>
      <c r="H101" s="5">
        <f>F101-G101</f>
        <v/>
      </c>
    </row>
    <row r="102">
      <c r="D102" t="n">
        <v>100</v>
      </c>
      <c r="E102">
        <f>Data!G101</f>
        <v/>
      </c>
      <c r="F102">
        <f>Data!H101</f>
        <v/>
      </c>
      <c r="G102" s="5">
        <f>$B$4+$B$3*E102</f>
        <v/>
      </c>
      <c r="H102" s="5">
        <f>F102-G102</f>
        <v/>
      </c>
    </row>
    <row r="103">
      <c r="D103" t="n">
        <v>101</v>
      </c>
      <c r="E103">
        <f>Data!G102</f>
        <v/>
      </c>
      <c r="F103">
        <f>Data!H102</f>
        <v/>
      </c>
      <c r="G103" s="5">
        <f>$B$4+$B$3*E103</f>
        <v/>
      </c>
      <c r="H103" s="5">
        <f>F103-G103</f>
        <v/>
      </c>
    </row>
    <row r="104">
      <c r="D104" t="n">
        <v>102</v>
      </c>
      <c r="E104">
        <f>Data!G103</f>
        <v/>
      </c>
      <c r="F104">
        <f>Data!H103</f>
        <v/>
      </c>
      <c r="G104" s="5">
        <f>$B$4+$B$3*E104</f>
        <v/>
      </c>
      <c r="H104" s="5">
        <f>F104-G104</f>
        <v/>
      </c>
    </row>
    <row r="105">
      <c r="D105" t="n">
        <v>103</v>
      </c>
      <c r="E105">
        <f>Data!G104</f>
        <v/>
      </c>
      <c r="F105">
        <f>Data!H104</f>
        <v/>
      </c>
      <c r="G105" s="5">
        <f>$B$4+$B$3*E105</f>
        <v/>
      </c>
      <c r="H105" s="5">
        <f>F105-G105</f>
        <v/>
      </c>
    </row>
    <row r="106">
      <c r="D106" t="n">
        <v>104</v>
      </c>
      <c r="E106">
        <f>Data!G105</f>
        <v/>
      </c>
      <c r="F106">
        <f>Data!H105</f>
        <v/>
      </c>
      <c r="G106" s="5">
        <f>$B$4+$B$3*E106</f>
        <v/>
      </c>
      <c r="H106" s="5">
        <f>F106-G106</f>
        <v/>
      </c>
    </row>
    <row r="107">
      <c r="D107" t="n">
        <v>105</v>
      </c>
      <c r="E107">
        <f>Data!G106</f>
        <v/>
      </c>
      <c r="F107">
        <f>Data!H106</f>
        <v/>
      </c>
      <c r="G107" s="5">
        <f>$B$4+$B$3*E107</f>
        <v/>
      </c>
      <c r="H107" s="5">
        <f>F107-G107</f>
        <v/>
      </c>
    </row>
    <row r="108">
      <c r="D108" t="n">
        <v>106</v>
      </c>
      <c r="E108">
        <f>Data!G107</f>
        <v/>
      </c>
      <c r="F108">
        <f>Data!H107</f>
        <v/>
      </c>
      <c r="G108" s="5">
        <f>$B$4+$B$3*E108</f>
        <v/>
      </c>
      <c r="H108" s="5">
        <f>F108-G108</f>
        <v/>
      </c>
    </row>
    <row r="109">
      <c r="D109" t="n">
        <v>107</v>
      </c>
      <c r="E109">
        <f>Data!G108</f>
        <v/>
      </c>
      <c r="F109">
        <f>Data!H108</f>
        <v/>
      </c>
      <c r="G109" s="5">
        <f>$B$4+$B$3*E109</f>
        <v/>
      </c>
      <c r="H109" s="5">
        <f>F109-G109</f>
        <v/>
      </c>
    </row>
    <row r="110">
      <c r="D110" t="n">
        <v>108</v>
      </c>
      <c r="E110">
        <f>Data!G109</f>
        <v/>
      </c>
      <c r="F110">
        <f>Data!H109</f>
        <v/>
      </c>
      <c r="G110" s="5">
        <f>$B$4+$B$3*E110</f>
        <v/>
      </c>
      <c r="H110" s="5">
        <f>F110-G110</f>
        <v/>
      </c>
    </row>
    <row r="111">
      <c r="D111" t="n">
        <v>109</v>
      </c>
      <c r="E111">
        <f>Data!G110</f>
        <v/>
      </c>
      <c r="F111">
        <f>Data!H110</f>
        <v/>
      </c>
      <c r="G111" s="5">
        <f>$B$4+$B$3*E111</f>
        <v/>
      </c>
      <c r="H111" s="5">
        <f>F111-G111</f>
        <v/>
      </c>
    </row>
    <row r="112">
      <c r="D112" t="n">
        <v>110</v>
      </c>
      <c r="E112">
        <f>Data!G111</f>
        <v/>
      </c>
      <c r="F112">
        <f>Data!H111</f>
        <v/>
      </c>
      <c r="G112" s="5">
        <f>$B$4+$B$3*E112</f>
        <v/>
      </c>
      <c r="H112" s="5">
        <f>F112-G112</f>
        <v/>
      </c>
    </row>
    <row r="113">
      <c r="D113" t="n">
        <v>111</v>
      </c>
      <c r="E113">
        <f>Data!G112</f>
        <v/>
      </c>
      <c r="F113">
        <f>Data!H112</f>
        <v/>
      </c>
      <c r="G113" s="5">
        <f>$B$4+$B$3*E113</f>
        <v/>
      </c>
      <c r="H113" s="5">
        <f>F113-G113</f>
        <v/>
      </c>
    </row>
    <row r="114">
      <c r="D114" t="n">
        <v>112</v>
      </c>
      <c r="E114">
        <f>Data!G113</f>
        <v/>
      </c>
      <c r="F114">
        <f>Data!H113</f>
        <v/>
      </c>
      <c r="G114" s="5">
        <f>$B$4+$B$3*E114</f>
        <v/>
      </c>
      <c r="H114" s="5">
        <f>F114-G114</f>
        <v/>
      </c>
    </row>
    <row r="115">
      <c r="D115" t="n">
        <v>113</v>
      </c>
      <c r="E115">
        <f>Data!G114</f>
        <v/>
      </c>
      <c r="F115">
        <f>Data!H114</f>
        <v/>
      </c>
      <c r="G115" s="5">
        <f>$B$4+$B$3*E115</f>
        <v/>
      </c>
      <c r="H115" s="5">
        <f>F115-G115</f>
        <v/>
      </c>
    </row>
    <row r="116">
      <c r="D116" t="n">
        <v>114</v>
      </c>
      <c r="E116">
        <f>Data!G115</f>
        <v/>
      </c>
      <c r="F116">
        <f>Data!H115</f>
        <v/>
      </c>
      <c r="G116" s="5">
        <f>$B$4+$B$3*E116</f>
        <v/>
      </c>
      <c r="H116" s="5">
        <f>F116-G116</f>
        <v/>
      </c>
    </row>
    <row r="117">
      <c r="D117" t="n">
        <v>115</v>
      </c>
      <c r="E117">
        <f>Data!G116</f>
        <v/>
      </c>
      <c r="F117">
        <f>Data!H116</f>
        <v/>
      </c>
      <c r="G117" s="5">
        <f>$B$4+$B$3*E117</f>
        <v/>
      </c>
      <c r="H117" s="5">
        <f>F117-G117</f>
        <v/>
      </c>
    </row>
    <row r="118">
      <c r="D118" t="n">
        <v>116</v>
      </c>
      <c r="E118">
        <f>Data!G117</f>
        <v/>
      </c>
      <c r="F118">
        <f>Data!H117</f>
        <v/>
      </c>
      <c r="G118" s="5">
        <f>$B$4+$B$3*E118</f>
        <v/>
      </c>
      <c r="H118" s="5">
        <f>F118-G118</f>
        <v/>
      </c>
    </row>
    <row r="119">
      <c r="D119" t="n">
        <v>117</v>
      </c>
      <c r="E119">
        <f>Data!G118</f>
        <v/>
      </c>
      <c r="F119">
        <f>Data!H118</f>
        <v/>
      </c>
      <c r="G119" s="5">
        <f>$B$4+$B$3*E119</f>
        <v/>
      </c>
      <c r="H119" s="5">
        <f>F119-G119</f>
        <v/>
      </c>
    </row>
    <row r="120">
      <c r="D120" t="n">
        <v>118</v>
      </c>
      <c r="E120">
        <f>Data!G119</f>
        <v/>
      </c>
      <c r="F120">
        <f>Data!H119</f>
        <v/>
      </c>
      <c r="G120" s="5">
        <f>$B$4+$B$3*E120</f>
        <v/>
      </c>
      <c r="H120" s="5">
        <f>F120-G120</f>
        <v/>
      </c>
    </row>
    <row r="121">
      <c r="D121" t="n">
        <v>119</v>
      </c>
      <c r="E121">
        <f>Data!G120</f>
        <v/>
      </c>
      <c r="F121">
        <f>Data!H120</f>
        <v/>
      </c>
      <c r="G121" s="5">
        <f>$B$4+$B$3*E121</f>
        <v/>
      </c>
      <c r="H121" s="5">
        <f>F121-G121</f>
        <v/>
      </c>
    </row>
    <row r="122">
      <c r="D122" t="n">
        <v>120</v>
      </c>
      <c r="E122">
        <f>Data!G121</f>
        <v/>
      </c>
      <c r="F122">
        <f>Data!H121</f>
        <v/>
      </c>
      <c r="G122" s="5">
        <f>$B$4+$B$3*E122</f>
        <v/>
      </c>
      <c r="H122" s="5">
        <f>F122-G122</f>
        <v/>
      </c>
    </row>
    <row r="123">
      <c r="D123" t="n">
        <v>121</v>
      </c>
      <c r="E123">
        <f>Data!G122</f>
        <v/>
      </c>
      <c r="F123">
        <f>Data!H122</f>
        <v/>
      </c>
      <c r="G123" s="5">
        <f>$B$4+$B$3*E123</f>
        <v/>
      </c>
      <c r="H123" s="5">
        <f>F123-G123</f>
        <v/>
      </c>
    </row>
    <row r="124">
      <c r="D124" t="n">
        <v>122</v>
      </c>
      <c r="E124">
        <f>Data!G123</f>
        <v/>
      </c>
      <c r="F124">
        <f>Data!H123</f>
        <v/>
      </c>
      <c r="G124" s="5">
        <f>$B$4+$B$3*E124</f>
        <v/>
      </c>
      <c r="H124" s="5">
        <f>F124-G124</f>
        <v/>
      </c>
    </row>
    <row r="125">
      <c r="D125" t="n">
        <v>123</v>
      </c>
      <c r="E125">
        <f>Data!G124</f>
        <v/>
      </c>
      <c r="F125">
        <f>Data!H124</f>
        <v/>
      </c>
      <c r="G125" s="5">
        <f>$B$4+$B$3*E125</f>
        <v/>
      </c>
      <c r="H125" s="5">
        <f>F125-G125</f>
        <v/>
      </c>
    </row>
    <row r="126">
      <c r="D126" t="n">
        <v>124</v>
      </c>
      <c r="E126">
        <f>Data!G125</f>
        <v/>
      </c>
      <c r="F126">
        <f>Data!H125</f>
        <v/>
      </c>
      <c r="G126" s="5">
        <f>$B$4+$B$3*E126</f>
        <v/>
      </c>
      <c r="H126" s="5">
        <f>F126-G126</f>
        <v/>
      </c>
    </row>
    <row r="127">
      <c r="D127" t="n">
        <v>125</v>
      </c>
      <c r="E127">
        <f>Data!G126</f>
        <v/>
      </c>
      <c r="F127">
        <f>Data!H126</f>
        <v/>
      </c>
      <c r="G127" s="5">
        <f>$B$4+$B$3*E127</f>
        <v/>
      </c>
      <c r="H127" s="5">
        <f>F127-G127</f>
        <v/>
      </c>
    </row>
    <row r="128">
      <c r="D128" t="n">
        <v>126</v>
      </c>
      <c r="E128">
        <f>Data!G127</f>
        <v/>
      </c>
      <c r="F128">
        <f>Data!H127</f>
        <v/>
      </c>
      <c r="G128" s="5">
        <f>$B$4+$B$3*E128</f>
        <v/>
      </c>
      <c r="H128" s="5">
        <f>F128-G128</f>
        <v/>
      </c>
    </row>
    <row r="129">
      <c r="D129" t="n">
        <v>127</v>
      </c>
      <c r="E129">
        <f>Data!G128</f>
        <v/>
      </c>
      <c r="F129">
        <f>Data!H128</f>
        <v/>
      </c>
      <c r="G129" s="5">
        <f>$B$4+$B$3*E129</f>
        <v/>
      </c>
      <c r="H129" s="5">
        <f>F129-G129</f>
        <v/>
      </c>
    </row>
    <row r="130">
      <c r="D130" t="n">
        <v>128</v>
      </c>
      <c r="E130">
        <f>Data!G129</f>
        <v/>
      </c>
      <c r="F130">
        <f>Data!H129</f>
        <v/>
      </c>
      <c r="G130" s="5">
        <f>$B$4+$B$3*E130</f>
        <v/>
      </c>
      <c r="H130" s="5">
        <f>F130-G130</f>
        <v/>
      </c>
    </row>
    <row r="131">
      <c r="D131" t="n">
        <v>129</v>
      </c>
      <c r="E131">
        <f>Data!G130</f>
        <v/>
      </c>
      <c r="F131">
        <f>Data!H130</f>
        <v/>
      </c>
      <c r="G131" s="5">
        <f>$B$4+$B$3*E131</f>
        <v/>
      </c>
      <c r="H131" s="5">
        <f>F131-G131</f>
        <v/>
      </c>
    </row>
    <row r="132">
      <c r="D132" t="n">
        <v>130</v>
      </c>
      <c r="E132">
        <f>Data!G131</f>
        <v/>
      </c>
      <c r="F132">
        <f>Data!H131</f>
        <v/>
      </c>
      <c r="G132" s="5">
        <f>$B$4+$B$3*E132</f>
        <v/>
      </c>
      <c r="H132" s="5">
        <f>F132-G132</f>
        <v/>
      </c>
    </row>
    <row r="133">
      <c r="D133" t="n">
        <v>131</v>
      </c>
      <c r="E133">
        <f>Data!G132</f>
        <v/>
      </c>
      <c r="F133">
        <f>Data!H132</f>
        <v/>
      </c>
      <c r="G133" s="5">
        <f>$B$4+$B$3*E133</f>
        <v/>
      </c>
      <c r="H133" s="5">
        <f>F133-G133</f>
        <v/>
      </c>
    </row>
    <row r="134">
      <c r="D134" t="n">
        <v>132</v>
      </c>
      <c r="E134">
        <f>Data!G133</f>
        <v/>
      </c>
      <c r="F134">
        <f>Data!H133</f>
        <v/>
      </c>
      <c r="G134" s="5">
        <f>$B$4+$B$3*E134</f>
        <v/>
      </c>
      <c r="H134" s="5">
        <f>F134-G134</f>
        <v/>
      </c>
    </row>
    <row r="135">
      <c r="D135" t="n">
        <v>133</v>
      </c>
      <c r="E135">
        <f>Data!G134</f>
        <v/>
      </c>
      <c r="F135">
        <f>Data!H134</f>
        <v/>
      </c>
      <c r="G135" s="5">
        <f>$B$4+$B$3*E135</f>
        <v/>
      </c>
      <c r="H135" s="5">
        <f>F135-G135</f>
        <v/>
      </c>
    </row>
    <row r="136">
      <c r="D136" t="n">
        <v>134</v>
      </c>
      <c r="E136">
        <f>Data!G135</f>
        <v/>
      </c>
      <c r="F136">
        <f>Data!H135</f>
        <v/>
      </c>
      <c r="G136" s="5">
        <f>$B$4+$B$3*E136</f>
        <v/>
      </c>
      <c r="H136" s="5">
        <f>F136-G136</f>
        <v/>
      </c>
    </row>
    <row r="137">
      <c r="D137" t="n">
        <v>135</v>
      </c>
      <c r="E137">
        <f>Data!G136</f>
        <v/>
      </c>
      <c r="F137">
        <f>Data!H136</f>
        <v/>
      </c>
      <c r="G137" s="5">
        <f>$B$4+$B$3*E137</f>
        <v/>
      </c>
      <c r="H137" s="5">
        <f>F137-G137</f>
        <v/>
      </c>
    </row>
    <row r="138">
      <c r="D138" t="n">
        <v>136</v>
      </c>
      <c r="E138">
        <f>Data!G137</f>
        <v/>
      </c>
      <c r="F138">
        <f>Data!H137</f>
        <v/>
      </c>
      <c r="G138" s="5">
        <f>$B$4+$B$3*E138</f>
        <v/>
      </c>
      <c r="H138" s="5">
        <f>F138-G138</f>
        <v/>
      </c>
    </row>
    <row r="139">
      <c r="D139" t="n">
        <v>137</v>
      </c>
      <c r="E139">
        <f>Data!G138</f>
        <v/>
      </c>
      <c r="F139">
        <f>Data!H138</f>
        <v/>
      </c>
      <c r="G139" s="5">
        <f>$B$4+$B$3*E139</f>
        <v/>
      </c>
      <c r="H139" s="5">
        <f>F139-G139</f>
        <v/>
      </c>
    </row>
    <row r="140">
      <c r="D140" t="n">
        <v>138</v>
      </c>
      <c r="E140">
        <f>Data!G139</f>
        <v/>
      </c>
      <c r="F140">
        <f>Data!H139</f>
        <v/>
      </c>
      <c r="G140" s="5">
        <f>$B$4+$B$3*E140</f>
        <v/>
      </c>
      <c r="H140" s="5">
        <f>F140-G140</f>
        <v/>
      </c>
    </row>
    <row r="141">
      <c r="D141" t="n">
        <v>139</v>
      </c>
      <c r="E141">
        <f>Data!G140</f>
        <v/>
      </c>
      <c r="F141">
        <f>Data!H140</f>
        <v/>
      </c>
      <c r="G141" s="5">
        <f>$B$4+$B$3*E141</f>
        <v/>
      </c>
      <c r="H141" s="5">
        <f>F141-G141</f>
        <v/>
      </c>
    </row>
    <row r="142">
      <c r="D142" t="n">
        <v>140</v>
      </c>
      <c r="E142">
        <f>Data!G141</f>
        <v/>
      </c>
      <c r="F142">
        <f>Data!H141</f>
        <v/>
      </c>
      <c r="G142" s="5">
        <f>$B$4+$B$3*E142</f>
        <v/>
      </c>
      <c r="H142" s="5">
        <f>F142-G142</f>
        <v/>
      </c>
    </row>
    <row r="143">
      <c r="D143" t="n">
        <v>141</v>
      </c>
      <c r="E143">
        <f>Data!G142</f>
        <v/>
      </c>
      <c r="F143">
        <f>Data!H142</f>
        <v/>
      </c>
      <c r="G143" s="5">
        <f>$B$4+$B$3*E143</f>
        <v/>
      </c>
      <c r="H143" s="5">
        <f>F143-G143</f>
        <v/>
      </c>
    </row>
    <row r="144">
      <c r="D144" t="n">
        <v>142</v>
      </c>
      <c r="E144">
        <f>Data!G143</f>
        <v/>
      </c>
      <c r="F144">
        <f>Data!H143</f>
        <v/>
      </c>
      <c r="G144" s="5">
        <f>$B$4+$B$3*E144</f>
        <v/>
      </c>
      <c r="H144" s="5">
        <f>F144-G144</f>
        <v/>
      </c>
    </row>
    <row r="145">
      <c r="D145" t="n">
        <v>143</v>
      </c>
      <c r="E145">
        <f>Data!G144</f>
        <v/>
      </c>
      <c r="F145">
        <f>Data!H144</f>
        <v/>
      </c>
      <c r="G145" s="5">
        <f>$B$4+$B$3*E145</f>
        <v/>
      </c>
      <c r="H145" s="5">
        <f>F145-G145</f>
        <v/>
      </c>
    </row>
    <row r="146">
      <c r="D146" t="n">
        <v>144</v>
      </c>
      <c r="E146">
        <f>Data!G145</f>
        <v/>
      </c>
      <c r="F146">
        <f>Data!H145</f>
        <v/>
      </c>
      <c r="G146" s="5">
        <f>$B$4+$B$3*E146</f>
        <v/>
      </c>
      <c r="H146" s="5">
        <f>F146-G146</f>
        <v/>
      </c>
    </row>
    <row r="147">
      <c r="D147" t="n">
        <v>145</v>
      </c>
      <c r="E147">
        <f>Data!G146</f>
        <v/>
      </c>
      <c r="F147">
        <f>Data!H146</f>
        <v/>
      </c>
      <c r="G147" s="5">
        <f>$B$4+$B$3*E147</f>
        <v/>
      </c>
      <c r="H147" s="5">
        <f>F147-G147</f>
        <v/>
      </c>
    </row>
    <row r="148">
      <c r="D148" t="n">
        <v>146</v>
      </c>
      <c r="E148">
        <f>Data!G147</f>
        <v/>
      </c>
      <c r="F148">
        <f>Data!H147</f>
        <v/>
      </c>
      <c r="G148" s="5">
        <f>$B$4+$B$3*E148</f>
        <v/>
      </c>
      <c r="H148" s="5">
        <f>F148-G148</f>
        <v/>
      </c>
    </row>
    <row r="149">
      <c r="D149" t="n">
        <v>147</v>
      </c>
      <c r="E149">
        <f>Data!G148</f>
        <v/>
      </c>
      <c r="F149">
        <f>Data!H148</f>
        <v/>
      </c>
      <c r="G149" s="5">
        <f>$B$4+$B$3*E149</f>
        <v/>
      </c>
      <c r="H149" s="5">
        <f>F149-G149</f>
        <v/>
      </c>
    </row>
    <row r="150">
      <c r="D150" t="n">
        <v>148</v>
      </c>
      <c r="E150">
        <f>Data!G149</f>
        <v/>
      </c>
      <c r="F150">
        <f>Data!H149</f>
        <v/>
      </c>
      <c r="G150" s="5">
        <f>$B$4+$B$3*E150</f>
        <v/>
      </c>
      <c r="H150" s="5">
        <f>F150-G150</f>
        <v/>
      </c>
    </row>
    <row r="151">
      <c r="D151" t="n">
        <v>149</v>
      </c>
      <c r="E151">
        <f>Data!G150</f>
        <v/>
      </c>
      <c r="F151">
        <f>Data!H150</f>
        <v/>
      </c>
      <c r="G151" s="5">
        <f>$B$4+$B$3*E151</f>
        <v/>
      </c>
      <c r="H151" s="5">
        <f>F151-G151</f>
        <v/>
      </c>
    </row>
    <row r="152">
      <c r="D152" t="n">
        <v>150</v>
      </c>
      <c r="E152">
        <f>Data!G151</f>
        <v/>
      </c>
      <c r="F152">
        <f>Data!H151</f>
        <v/>
      </c>
      <c r="G152" s="5">
        <f>$B$4+$B$3*E152</f>
        <v/>
      </c>
      <c r="H152" s="5">
        <f>F152-G152</f>
        <v/>
      </c>
    </row>
    <row r="153">
      <c r="D153" t="n">
        <v>151</v>
      </c>
      <c r="E153">
        <f>Data!G152</f>
        <v/>
      </c>
      <c r="F153">
        <f>Data!H152</f>
        <v/>
      </c>
      <c r="G153" s="5">
        <f>$B$4+$B$3*E153</f>
        <v/>
      </c>
      <c r="H153" s="5">
        <f>F153-G153</f>
        <v/>
      </c>
    </row>
    <row r="154">
      <c r="D154" t="n">
        <v>152</v>
      </c>
      <c r="E154">
        <f>Data!G153</f>
        <v/>
      </c>
      <c r="F154">
        <f>Data!H153</f>
        <v/>
      </c>
      <c r="G154" s="5">
        <f>$B$4+$B$3*E154</f>
        <v/>
      </c>
      <c r="H154" s="5">
        <f>F154-G154</f>
        <v/>
      </c>
    </row>
    <row r="155">
      <c r="D155" t="n">
        <v>153</v>
      </c>
      <c r="E155">
        <f>Data!G154</f>
        <v/>
      </c>
      <c r="F155">
        <f>Data!H154</f>
        <v/>
      </c>
      <c r="G155" s="5">
        <f>$B$4+$B$3*E155</f>
        <v/>
      </c>
      <c r="H155" s="5">
        <f>F155-G155</f>
        <v/>
      </c>
    </row>
    <row r="156">
      <c r="D156" t="n">
        <v>154</v>
      </c>
      <c r="E156">
        <f>Data!G155</f>
        <v/>
      </c>
      <c r="F156">
        <f>Data!H155</f>
        <v/>
      </c>
      <c r="G156" s="5">
        <f>$B$4+$B$3*E156</f>
        <v/>
      </c>
      <c r="H156" s="5">
        <f>F156-G156</f>
        <v/>
      </c>
    </row>
    <row r="157">
      <c r="D157" t="n">
        <v>155</v>
      </c>
      <c r="E157">
        <f>Data!G156</f>
        <v/>
      </c>
      <c r="F157">
        <f>Data!H156</f>
        <v/>
      </c>
      <c r="G157" s="5">
        <f>$B$4+$B$3*E157</f>
        <v/>
      </c>
      <c r="H157" s="5">
        <f>F157-G157</f>
        <v/>
      </c>
    </row>
    <row r="158">
      <c r="D158" t="n">
        <v>156</v>
      </c>
      <c r="E158">
        <f>Data!G157</f>
        <v/>
      </c>
      <c r="F158">
        <f>Data!H157</f>
        <v/>
      </c>
      <c r="G158" s="5">
        <f>$B$4+$B$3*E158</f>
        <v/>
      </c>
      <c r="H158" s="5">
        <f>F158-G158</f>
        <v/>
      </c>
    </row>
    <row r="159">
      <c r="D159" t="n">
        <v>157</v>
      </c>
      <c r="E159">
        <f>Data!G158</f>
        <v/>
      </c>
      <c r="F159">
        <f>Data!H158</f>
        <v/>
      </c>
      <c r="G159" s="5">
        <f>$B$4+$B$3*E159</f>
        <v/>
      </c>
      <c r="H159" s="5">
        <f>F159-G159</f>
        <v/>
      </c>
    </row>
    <row r="160">
      <c r="D160" t="n">
        <v>158</v>
      </c>
      <c r="E160">
        <f>Data!G159</f>
        <v/>
      </c>
      <c r="F160">
        <f>Data!H159</f>
        <v/>
      </c>
      <c r="G160" s="5">
        <f>$B$4+$B$3*E160</f>
        <v/>
      </c>
      <c r="H160" s="5">
        <f>F160-G160</f>
        <v/>
      </c>
    </row>
    <row r="161">
      <c r="D161" t="n">
        <v>159</v>
      </c>
      <c r="E161">
        <f>Data!G160</f>
        <v/>
      </c>
      <c r="F161">
        <f>Data!H160</f>
        <v/>
      </c>
      <c r="G161" s="5">
        <f>$B$4+$B$3*E161</f>
        <v/>
      </c>
      <c r="H161" s="5">
        <f>F161-G161</f>
        <v/>
      </c>
    </row>
    <row r="162">
      <c r="D162" t="n">
        <v>160</v>
      </c>
      <c r="E162">
        <f>Data!G161</f>
        <v/>
      </c>
      <c r="F162">
        <f>Data!H161</f>
        <v/>
      </c>
      <c r="G162" s="5">
        <f>$B$4+$B$3*E162</f>
        <v/>
      </c>
      <c r="H162" s="5">
        <f>F162-G162</f>
        <v/>
      </c>
    </row>
    <row r="163">
      <c r="D163" t="n">
        <v>161</v>
      </c>
      <c r="E163">
        <f>Data!G162</f>
        <v/>
      </c>
      <c r="F163">
        <f>Data!H162</f>
        <v/>
      </c>
      <c r="G163" s="5">
        <f>$B$4+$B$3*E163</f>
        <v/>
      </c>
      <c r="H163" s="5">
        <f>F163-G163</f>
        <v/>
      </c>
    </row>
    <row r="164">
      <c r="D164" t="n">
        <v>162</v>
      </c>
      <c r="E164">
        <f>Data!G163</f>
        <v/>
      </c>
      <c r="F164">
        <f>Data!H163</f>
        <v/>
      </c>
      <c r="G164" s="5">
        <f>$B$4+$B$3*E164</f>
        <v/>
      </c>
      <c r="H164" s="5">
        <f>F164-G164</f>
        <v/>
      </c>
    </row>
    <row r="165">
      <c r="D165" t="n">
        <v>163</v>
      </c>
      <c r="E165">
        <f>Data!G164</f>
        <v/>
      </c>
      <c r="F165">
        <f>Data!H164</f>
        <v/>
      </c>
      <c r="G165" s="5">
        <f>$B$4+$B$3*E165</f>
        <v/>
      </c>
      <c r="H165" s="5">
        <f>F165-G165</f>
        <v/>
      </c>
    </row>
    <row r="166">
      <c r="D166" t="n">
        <v>164</v>
      </c>
      <c r="E166">
        <f>Data!G165</f>
        <v/>
      </c>
      <c r="F166">
        <f>Data!H165</f>
        <v/>
      </c>
      <c r="G166" s="5">
        <f>$B$4+$B$3*E166</f>
        <v/>
      </c>
      <c r="H166" s="5">
        <f>F166-G166</f>
        <v/>
      </c>
    </row>
    <row r="167">
      <c r="D167" t="n">
        <v>165</v>
      </c>
      <c r="E167">
        <f>Data!G166</f>
        <v/>
      </c>
      <c r="F167">
        <f>Data!H166</f>
        <v/>
      </c>
      <c r="G167" s="5">
        <f>$B$4+$B$3*E167</f>
        <v/>
      </c>
      <c r="H167" s="5">
        <f>F167-G167</f>
        <v/>
      </c>
    </row>
    <row r="168">
      <c r="D168" t="n">
        <v>166</v>
      </c>
      <c r="E168">
        <f>Data!G167</f>
        <v/>
      </c>
      <c r="F168">
        <f>Data!H167</f>
        <v/>
      </c>
      <c r="G168" s="5">
        <f>$B$4+$B$3*E168</f>
        <v/>
      </c>
      <c r="H168" s="5">
        <f>F168-G168</f>
        <v/>
      </c>
    </row>
    <row r="169">
      <c r="D169" t="n">
        <v>167</v>
      </c>
      <c r="E169">
        <f>Data!G168</f>
        <v/>
      </c>
      <c r="F169">
        <f>Data!H168</f>
        <v/>
      </c>
      <c r="G169" s="5">
        <f>$B$4+$B$3*E169</f>
        <v/>
      </c>
      <c r="H169" s="5">
        <f>F169-G169</f>
        <v/>
      </c>
    </row>
    <row r="170">
      <c r="D170" t="n">
        <v>168</v>
      </c>
      <c r="E170">
        <f>Data!G169</f>
        <v/>
      </c>
      <c r="F170">
        <f>Data!H169</f>
        <v/>
      </c>
      <c r="G170" s="5">
        <f>$B$4+$B$3*E170</f>
        <v/>
      </c>
      <c r="H170" s="5">
        <f>F170-G170</f>
        <v/>
      </c>
    </row>
    <row r="171">
      <c r="D171" t="n">
        <v>169</v>
      </c>
      <c r="E171">
        <f>Data!G170</f>
        <v/>
      </c>
      <c r="F171">
        <f>Data!H170</f>
        <v/>
      </c>
      <c r="G171" s="5">
        <f>$B$4+$B$3*E171</f>
        <v/>
      </c>
      <c r="H171" s="5">
        <f>F171-G171</f>
        <v/>
      </c>
    </row>
    <row r="172">
      <c r="D172" t="n">
        <v>170</v>
      </c>
      <c r="E172">
        <f>Data!G171</f>
        <v/>
      </c>
      <c r="F172">
        <f>Data!H171</f>
        <v/>
      </c>
      <c r="G172" s="5">
        <f>$B$4+$B$3*E172</f>
        <v/>
      </c>
      <c r="H172" s="5">
        <f>F172-G172</f>
        <v/>
      </c>
    </row>
    <row r="173">
      <c r="D173" t="n">
        <v>171</v>
      </c>
      <c r="E173">
        <f>Data!G172</f>
        <v/>
      </c>
      <c r="F173">
        <f>Data!H172</f>
        <v/>
      </c>
      <c r="G173" s="5">
        <f>$B$4+$B$3*E173</f>
        <v/>
      </c>
      <c r="H173" s="5">
        <f>F173-G173</f>
        <v/>
      </c>
    </row>
    <row r="174">
      <c r="D174" t="n">
        <v>172</v>
      </c>
      <c r="E174">
        <f>Data!G173</f>
        <v/>
      </c>
      <c r="F174">
        <f>Data!H173</f>
        <v/>
      </c>
      <c r="G174" s="5">
        <f>$B$4+$B$3*E174</f>
        <v/>
      </c>
      <c r="H174" s="5">
        <f>F174-G174</f>
        <v/>
      </c>
    </row>
    <row r="175">
      <c r="D175" t="n">
        <v>173</v>
      </c>
      <c r="E175">
        <f>Data!G174</f>
        <v/>
      </c>
      <c r="F175">
        <f>Data!H174</f>
        <v/>
      </c>
      <c r="G175" s="5">
        <f>$B$4+$B$3*E175</f>
        <v/>
      </c>
      <c r="H175" s="5">
        <f>F175-G175</f>
        <v/>
      </c>
    </row>
    <row r="176">
      <c r="D176" t="n">
        <v>174</v>
      </c>
      <c r="E176">
        <f>Data!G175</f>
        <v/>
      </c>
      <c r="F176">
        <f>Data!H175</f>
        <v/>
      </c>
      <c r="G176" s="5">
        <f>$B$4+$B$3*E176</f>
        <v/>
      </c>
      <c r="H176" s="5">
        <f>F176-G176</f>
        <v/>
      </c>
    </row>
    <row r="177">
      <c r="D177" t="n">
        <v>175</v>
      </c>
      <c r="E177">
        <f>Data!G176</f>
        <v/>
      </c>
      <c r="F177">
        <f>Data!H176</f>
        <v/>
      </c>
      <c r="G177" s="5">
        <f>$B$4+$B$3*E177</f>
        <v/>
      </c>
      <c r="H177" s="5">
        <f>F177-G177</f>
        <v/>
      </c>
    </row>
    <row r="178">
      <c r="D178" t="n">
        <v>176</v>
      </c>
      <c r="E178">
        <f>Data!G177</f>
        <v/>
      </c>
      <c r="F178">
        <f>Data!H177</f>
        <v/>
      </c>
      <c r="G178" s="5">
        <f>$B$4+$B$3*E178</f>
        <v/>
      </c>
      <c r="H178" s="5">
        <f>F178-G178</f>
        <v/>
      </c>
    </row>
    <row r="179">
      <c r="D179" t="n">
        <v>177</v>
      </c>
      <c r="E179">
        <f>Data!G178</f>
        <v/>
      </c>
      <c r="F179">
        <f>Data!H178</f>
        <v/>
      </c>
      <c r="G179" s="5">
        <f>$B$4+$B$3*E179</f>
        <v/>
      </c>
      <c r="H179" s="5">
        <f>F179-G179</f>
        <v/>
      </c>
    </row>
    <row r="180">
      <c r="D180" t="n">
        <v>178</v>
      </c>
      <c r="E180">
        <f>Data!G179</f>
        <v/>
      </c>
      <c r="F180">
        <f>Data!H179</f>
        <v/>
      </c>
      <c r="G180" s="5">
        <f>$B$4+$B$3*E180</f>
        <v/>
      </c>
      <c r="H180" s="5">
        <f>F180-G180</f>
        <v/>
      </c>
    </row>
    <row r="181">
      <c r="D181" t="n">
        <v>179</v>
      </c>
      <c r="E181">
        <f>Data!G180</f>
        <v/>
      </c>
      <c r="F181">
        <f>Data!H180</f>
        <v/>
      </c>
      <c r="G181" s="5">
        <f>$B$4+$B$3*E181</f>
        <v/>
      </c>
      <c r="H181" s="5">
        <f>F181-G181</f>
        <v/>
      </c>
    </row>
    <row r="182">
      <c r="D182" t="n">
        <v>180</v>
      </c>
      <c r="E182">
        <f>Data!G181</f>
        <v/>
      </c>
      <c r="F182">
        <f>Data!H181</f>
        <v/>
      </c>
      <c r="G182" s="5">
        <f>$B$4+$B$3*E182</f>
        <v/>
      </c>
      <c r="H182" s="5">
        <f>F182-G182</f>
        <v/>
      </c>
    </row>
    <row r="183">
      <c r="D183" t="n">
        <v>181</v>
      </c>
      <c r="E183">
        <f>Data!G182</f>
        <v/>
      </c>
      <c r="F183">
        <f>Data!H182</f>
        <v/>
      </c>
      <c r="G183" s="5">
        <f>$B$4+$B$3*E183</f>
        <v/>
      </c>
      <c r="H183" s="5">
        <f>F183-G183</f>
        <v/>
      </c>
    </row>
    <row r="184">
      <c r="D184" t="n">
        <v>182</v>
      </c>
      <c r="E184">
        <f>Data!G183</f>
        <v/>
      </c>
      <c r="F184">
        <f>Data!H183</f>
        <v/>
      </c>
      <c r="G184" s="5">
        <f>$B$4+$B$3*E184</f>
        <v/>
      </c>
      <c r="H184" s="5">
        <f>F184-G184</f>
        <v/>
      </c>
    </row>
    <row r="185">
      <c r="D185" t="n">
        <v>183</v>
      </c>
      <c r="E185">
        <f>Data!G184</f>
        <v/>
      </c>
      <c r="F185">
        <f>Data!H184</f>
        <v/>
      </c>
      <c r="G185" s="5">
        <f>$B$4+$B$3*E185</f>
        <v/>
      </c>
      <c r="H185" s="5">
        <f>F185-G185</f>
        <v/>
      </c>
    </row>
    <row r="186">
      <c r="D186" t="n">
        <v>184</v>
      </c>
      <c r="E186">
        <f>Data!G185</f>
        <v/>
      </c>
      <c r="F186">
        <f>Data!H185</f>
        <v/>
      </c>
      <c r="G186" s="5">
        <f>$B$4+$B$3*E186</f>
        <v/>
      </c>
      <c r="H186" s="5">
        <f>F186-G186</f>
        <v/>
      </c>
    </row>
    <row r="187">
      <c r="D187" t="n">
        <v>185</v>
      </c>
      <c r="E187">
        <f>Data!G186</f>
        <v/>
      </c>
      <c r="F187">
        <f>Data!H186</f>
        <v/>
      </c>
      <c r="G187" s="5">
        <f>$B$4+$B$3*E187</f>
        <v/>
      </c>
      <c r="H187" s="5">
        <f>F187-G187</f>
        <v/>
      </c>
    </row>
    <row r="188">
      <c r="D188" t="n">
        <v>186</v>
      </c>
      <c r="E188">
        <f>Data!G187</f>
        <v/>
      </c>
      <c r="F188">
        <f>Data!H187</f>
        <v/>
      </c>
      <c r="G188" s="5">
        <f>$B$4+$B$3*E188</f>
        <v/>
      </c>
      <c r="H188" s="5">
        <f>F188-G188</f>
        <v/>
      </c>
    </row>
    <row r="189">
      <c r="D189" t="n">
        <v>187</v>
      </c>
      <c r="E189">
        <f>Data!G188</f>
        <v/>
      </c>
      <c r="F189">
        <f>Data!H188</f>
        <v/>
      </c>
      <c r="G189" s="5">
        <f>$B$4+$B$3*E189</f>
        <v/>
      </c>
      <c r="H189" s="5">
        <f>F189-G189</f>
        <v/>
      </c>
    </row>
    <row r="190">
      <c r="D190" t="n">
        <v>188</v>
      </c>
      <c r="E190">
        <f>Data!G189</f>
        <v/>
      </c>
      <c r="F190">
        <f>Data!H189</f>
        <v/>
      </c>
      <c r="G190" s="5">
        <f>$B$4+$B$3*E190</f>
        <v/>
      </c>
      <c r="H190" s="5">
        <f>F190-G190</f>
        <v/>
      </c>
    </row>
    <row r="191">
      <c r="D191" t="n">
        <v>189</v>
      </c>
      <c r="E191">
        <f>Data!G190</f>
        <v/>
      </c>
      <c r="F191">
        <f>Data!H190</f>
        <v/>
      </c>
      <c r="G191" s="5">
        <f>$B$4+$B$3*E191</f>
        <v/>
      </c>
      <c r="H191" s="5">
        <f>F191-G191</f>
        <v/>
      </c>
    </row>
    <row r="192">
      <c r="D192" t="n">
        <v>190</v>
      </c>
      <c r="E192">
        <f>Data!G191</f>
        <v/>
      </c>
      <c r="F192">
        <f>Data!H191</f>
        <v/>
      </c>
      <c r="G192" s="5">
        <f>$B$4+$B$3*E192</f>
        <v/>
      </c>
      <c r="H192" s="5">
        <f>F192-G192</f>
        <v/>
      </c>
    </row>
    <row r="193">
      <c r="D193" t="n">
        <v>191</v>
      </c>
      <c r="E193">
        <f>Data!G192</f>
        <v/>
      </c>
      <c r="F193">
        <f>Data!H192</f>
        <v/>
      </c>
      <c r="G193" s="5">
        <f>$B$4+$B$3*E193</f>
        <v/>
      </c>
      <c r="H193" s="5">
        <f>F193-G193</f>
        <v/>
      </c>
    </row>
    <row r="194">
      <c r="D194" t="n">
        <v>192</v>
      </c>
      <c r="E194">
        <f>Data!G193</f>
        <v/>
      </c>
      <c r="F194">
        <f>Data!H193</f>
        <v/>
      </c>
      <c r="G194" s="5">
        <f>$B$4+$B$3*E194</f>
        <v/>
      </c>
      <c r="H194" s="5">
        <f>F194-G194</f>
        <v/>
      </c>
    </row>
    <row r="195">
      <c r="D195" t="n">
        <v>193</v>
      </c>
      <c r="E195">
        <f>Data!G194</f>
        <v/>
      </c>
      <c r="F195">
        <f>Data!H194</f>
        <v/>
      </c>
      <c r="G195" s="5">
        <f>$B$4+$B$3*E195</f>
        <v/>
      </c>
      <c r="H195" s="5">
        <f>F195-G195</f>
        <v/>
      </c>
    </row>
    <row r="196">
      <c r="D196" t="n">
        <v>194</v>
      </c>
      <c r="E196">
        <f>Data!G195</f>
        <v/>
      </c>
      <c r="F196">
        <f>Data!H195</f>
        <v/>
      </c>
      <c r="G196" s="5">
        <f>$B$4+$B$3*E196</f>
        <v/>
      </c>
      <c r="H196" s="5">
        <f>F196-G196</f>
        <v/>
      </c>
    </row>
    <row r="197">
      <c r="D197" t="n">
        <v>195</v>
      </c>
      <c r="E197">
        <f>Data!G196</f>
        <v/>
      </c>
      <c r="F197">
        <f>Data!H196</f>
        <v/>
      </c>
      <c r="G197" s="5">
        <f>$B$4+$B$3*E197</f>
        <v/>
      </c>
      <c r="H197" s="5">
        <f>F197-G197</f>
        <v/>
      </c>
    </row>
    <row r="198">
      <c r="D198" t="n">
        <v>196</v>
      </c>
      <c r="E198">
        <f>Data!G197</f>
        <v/>
      </c>
      <c r="F198">
        <f>Data!H197</f>
        <v/>
      </c>
      <c r="G198" s="5">
        <f>$B$4+$B$3*E198</f>
        <v/>
      </c>
      <c r="H198" s="5">
        <f>F198-G198</f>
        <v/>
      </c>
    </row>
    <row r="199">
      <c r="D199" t="n">
        <v>197</v>
      </c>
      <c r="E199">
        <f>Data!G198</f>
        <v/>
      </c>
      <c r="F199">
        <f>Data!H198</f>
        <v/>
      </c>
      <c r="G199" s="5">
        <f>$B$4+$B$3*E199</f>
        <v/>
      </c>
      <c r="H199" s="5">
        <f>F199-G199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0" customWidth="1" min="4" max="4"/>
  </cols>
  <sheetData>
    <row r="1">
      <c r="A1" s="2" t="inlineStr">
        <is>
          <t>PHÂN TÍCH GIÁ THUÊ THEO NHÓM</t>
        </is>
      </c>
    </row>
    <row r="3">
      <c r="A3" s="4" t="inlineStr">
        <is>
          <t>Theo Loại phòng</t>
        </is>
      </c>
    </row>
    <row r="4">
      <c r="A4" s="3" t="inlineStr">
        <is>
          <t>Nhóm</t>
        </is>
      </c>
      <c r="B4" s="3" t="inlineStr">
        <is>
          <t>Số lượng</t>
        </is>
      </c>
      <c r="C4" s="3" t="inlineStr">
        <is>
          <t>Giá TB (triệu)</t>
        </is>
      </c>
      <c r="D4" s="3" t="inlineStr">
        <is>
          <t>Khoảng cách TB (km)</t>
        </is>
      </c>
    </row>
    <row r="5">
      <c r="A5" t="inlineStr">
        <is>
          <t>Chung cư mini</t>
        </is>
      </c>
      <c r="B5">
        <f>COUNTIF(Data!$F$2:$F$198,A5)</f>
        <v/>
      </c>
      <c r="C5" s="5">
        <f>AVERAGEIF(Data!$F$2:$F$198,A5,Data!$H$2:$H$198)</f>
        <v/>
      </c>
      <c r="D5" s="5">
        <f>AVERAGEIF(Data!$F$2:$F$198,A5,Data!$G$2:$G$198)</f>
        <v/>
      </c>
    </row>
    <row r="6">
      <c r="A6" t="inlineStr">
        <is>
          <t>Chung cư mini/Studio</t>
        </is>
      </c>
      <c r="B6">
        <f>COUNTIF(Data!$F$2:$F$198,A6)</f>
        <v/>
      </c>
      <c r="C6" s="5">
        <f>AVERAGEIF(Data!$F$2:$F$198,A6,Data!$H$2:$H$198)</f>
        <v/>
      </c>
      <c r="D6" s="5">
        <f>AVERAGEIF(Data!$F$2:$F$198,A6,Data!$G$2:$G$198)</f>
        <v/>
      </c>
    </row>
    <row r="7">
      <c r="A7" t="inlineStr">
        <is>
          <t>Ký túc xá</t>
        </is>
      </c>
      <c r="B7">
        <f>COUNTIF(Data!$F$2:$F$198,A7)</f>
        <v/>
      </c>
      <c r="C7" s="5">
        <f>AVERAGEIF(Data!$F$2:$F$198,A7,Data!$H$2:$H$198)</f>
        <v/>
      </c>
      <c r="D7" s="5">
        <f>AVERAGEIF(Data!$F$2:$F$198,A7,Data!$G$2:$G$198)</f>
        <v/>
      </c>
    </row>
    <row r="8">
      <c r="A8" t="inlineStr">
        <is>
          <t xml:space="preserve">Ký túc xá </t>
        </is>
      </c>
      <c r="B8">
        <f>COUNTIF(Data!$F$2:$F$198,A8)</f>
        <v/>
      </c>
      <c r="C8" s="5">
        <f>AVERAGEIF(Data!$F$2:$F$198,A8,Data!$H$2:$H$198)</f>
        <v/>
      </c>
      <c r="D8" s="5">
        <f>AVERAGEIF(Data!$F$2:$F$198,A8,Data!$G$2:$G$198)</f>
        <v/>
      </c>
    </row>
    <row r="9">
      <c r="A9" t="inlineStr">
        <is>
          <t>Phòng khép kín</t>
        </is>
      </c>
      <c r="B9">
        <f>COUNTIF(Data!$F$2:$F$198,A9)</f>
        <v/>
      </c>
      <c r="C9" s="5">
        <f>AVERAGEIF(Data!$F$2:$F$198,A9,Data!$H$2:$H$198)</f>
        <v/>
      </c>
      <c r="D9" s="5">
        <f>AVERAGEIF(Data!$F$2:$F$198,A9,Data!$G$2:$G$198)</f>
        <v/>
      </c>
    </row>
    <row r="10">
      <c r="A10" t="inlineStr">
        <is>
          <t>Phòng trọ cơ bản</t>
        </is>
      </c>
      <c r="B10">
        <f>COUNTIF(Data!$F$2:$F$198,A10)</f>
        <v/>
      </c>
      <c r="C10" s="5">
        <f>AVERAGEIF(Data!$F$2:$F$198,A10,Data!$H$2:$H$198)</f>
        <v/>
      </c>
      <c r="D10" s="5">
        <f>AVERAGEIF(Data!$F$2:$F$198,A10,Data!$G$2:$G$198)</f>
        <v/>
      </c>
    </row>
    <row r="12">
      <c r="A12" s="4" t="inlineStr">
        <is>
          <t>Theo Khu vực</t>
        </is>
      </c>
    </row>
    <row r="13">
      <c r="A13" s="3" t="inlineStr">
        <is>
          <t>Nhóm</t>
        </is>
      </c>
      <c r="B13" s="3" t="inlineStr">
        <is>
          <t>Số lượng</t>
        </is>
      </c>
      <c r="C13" s="3" t="inlineStr">
        <is>
          <t>Giá TB (triệu)</t>
        </is>
      </c>
      <c r="D13" s="3" t="inlineStr">
        <is>
          <t>Khoảng cách TB (km)</t>
        </is>
      </c>
    </row>
    <row r="14">
      <c r="A14" t="inlineStr">
        <is>
          <t>Dom A</t>
        </is>
      </c>
      <c r="B14">
        <f>COUNTIF(Data!$E$2:$E$198,A14)</f>
        <v/>
      </c>
      <c r="C14" s="5">
        <f>AVERAGEIF(Data!$E$2:$E$198,A14,Data!$H$2:$H$198)</f>
        <v/>
      </c>
      <c r="D14" s="5">
        <f>AVERAGEIF(Data!$E$2:$E$198,A14,Data!$G$2:$G$198)</f>
        <v/>
      </c>
    </row>
    <row r="15">
      <c r="A15" t="inlineStr">
        <is>
          <t>Dom B</t>
        </is>
      </c>
      <c r="B15">
        <f>COUNTIF(Data!$E$2:$E$198,A15)</f>
        <v/>
      </c>
      <c r="C15" s="5">
        <f>AVERAGEIF(Data!$E$2:$E$198,A15,Data!$H$2:$H$198)</f>
        <v/>
      </c>
      <c r="D15" s="5">
        <f>AVERAGEIF(Data!$E$2:$E$198,A15,Data!$G$2:$G$198)</f>
        <v/>
      </c>
    </row>
    <row r="16">
      <c r="A16" t="inlineStr">
        <is>
          <t>Dom C</t>
        </is>
      </c>
      <c r="B16">
        <f>COUNTIF(Data!$E$2:$E$198,A16)</f>
        <v/>
      </c>
      <c r="C16" s="5">
        <f>AVERAGEIF(Data!$E$2:$E$198,A16,Data!$H$2:$H$198)</f>
        <v/>
      </c>
      <c r="D16" s="5">
        <f>AVERAGEIF(Data!$E$2:$E$198,A16,Data!$G$2:$G$198)</f>
        <v/>
      </c>
    </row>
    <row r="17">
      <c r="A17" t="inlineStr">
        <is>
          <t>Dom D</t>
        </is>
      </c>
      <c r="B17">
        <f>COUNTIF(Data!$E$2:$E$198,A17)</f>
        <v/>
      </c>
      <c r="C17" s="5">
        <f>AVERAGEIF(Data!$E$2:$E$198,A17,Data!$H$2:$H$198)</f>
        <v/>
      </c>
      <c r="D17" s="5">
        <f>AVERAGEIF(Data!$E$2:$E$198,A17,Data!$G$2:$G$198)</f>
        <v/>
      </c>
    </row>
    <row r="18">
      <c r="A18" t="inlineStr">
        <is>
          <t>Hòa Lạc</t>
        </is>
      </c>
      <c r="B18">
        <f>COUNTIF(Data!$E$2:$E$198,A18)</f>
        <v/>
      </c>
      <c r="C18" s="5">
        <f>AVERAGEIF(Data!$E$2:$E$198,A18,Data!$H$2:$H$198)</f>
        <v/>
      </c>
      <c r="D18" s="5">
        <f>AVERAGEIF(Data!$E$2:$E$198,A18,Data!$G$2:$G$198)</f>
        <v/>
      </c>
    </row>
    <row r="19">
      <c r="A19" t="inlineStr">
        <is>
          <t>Thạch Hòa</t>
        </is>
      </c>
      <c r="B19">
        <f>COUNTIF(Data!$E$2:$E$198,A19)</f>
        <v/>
      </c>
      <c r="C19" s="5">
        <f>AVERAGEIF(Data!$E$2:$E$198,A19,Data!$H$2:$H$198)</f>
        <v/>
      </c>
      <c r="D19" s="5">
        <f>AVERAGEIF(Data!$E$2:$E$198,A19,Data!$G$2:$G$198)</f>
        <v/>
      </c>
    </row>
    <row r="20">
      <c r="A20" t="inlineStr">
        <is>
          <t>Tân Xã</t>
        </is>
      </c>
      <c r="B20">
        <f>COUNTIF(Data!$E$2:$E$198,A20)</f>
        <v/>
      </c>
      <c r="C20" s="5">
        <f>AVERAGEIF(Data!$E$2:$E$198,A20,Data!$H$2:$H$198)</f>
        <v/>
      </c>
      <c r="D20" s="5">
        <f>AVERAGEIF(Data!$E$2:$E$198,A20,Data!$G$2:$G$198)</f>
        <v/>
      </c>
    </row>
    <row r="22">
      <c r="A22" s="4" t="inlineStr">
        <is>
          <t>Theo Phương tiện di chuyển</t>
        </is>
      </c>
    </row>
    <row r="23">
      <c r="A23" s="3" t="inlineStr">
        <is>
          <t>Nhóm</t>
        </is>
      </c>
      <c r="B23" s="3" t="inlineStr">
        <is>
          <t>Số lượng</t>
        </is>
      </c>
      <c r="C23" s="3" t="inlineStr">
        <is>
          <t>Giá TB (triệu)</t>
        </is>
      </c>
      <c r="D23" s="3" t="inlineStr">
        <is>
          <t>Khoảng cách TB (km)</t>
        </is>
      </c>
    </row>
    <row r="24">
      <c r="A24" t="inlineStr">
        <is>
          <t xml:space="preserve">  Xe máy</t>
        </is>
      </c>
      <c r="B24">
        <f>COUNTIF(Data!$J$2:$J$198,A24)</f>
        <v/>
      </c>
      <c r="C24" s="5">
        <f>AVERAGEIF(Data!$J$2:$J$198,A24,Data!$H$2:$H$198)</f>
        <v/>
      </c>
      <c r="D24" s="5">
        <f>AVERAGEIF(Data!$J$2:$J$198,A24,Data!$G$2:$G$198)</f>
        <v/>
      </c>
    </row>
    <row r="25">
      <c r="A25" t="inlineStr">
        <is>
          <t>Xe buýt</t>
        </is>
      </c>
      <c r="B25">
        <f>COUNTIF(Data!$J$2:$J$198,A25)</f>
        <v/>
      </c>
      <c r="C25" s="5">
        <f>AVERAGEIF(Data!$J$2:$J$198,A25,Data!$H$2:$H$198)</f>
        <v/>
      </c>
      <c r="D25" s="5">
        <f>AVERAGEIF(Data!$J$2:$J$198,A25,Data!$G$2:$G$198)</f>
        <v/>
      </c>
    </row>
    <row r="26">
      <c r="A26" t="inlineStr">
        <is>
          <t>Xe máy</t>
        </is>
      </c>
      <c r="B26">
        <f>COUNTIF(Data!$J$2:$J$198,A26)</f>
        <v/>
      </c>
      <c r="C26" s="5">
        <f>AVERAGEIF(Data!$J$2:$J$198,A26,Data!$H$2:$H$198)</f>
        <v/>
      </c>
      <c r="D26" s="5">
        <f>AVERAGEIF(Data!$J$2:$J$198,A26,Data!$G$2:$G$198)</f>
        <v/>
      </c>
    </row>
    <row r="27">
      <c r="A27" t="inlineStr">
        <is>
          <t>xe may</t>
        </is>
      </c>
      <c r="B27">
        <f>COUNTIF(Data!$J$2:$J$198,A27)</f>
        <v/>
      </c>
      <c r="C27" s="5">
        <f>AVERAGEIF(Data!$J$2:$J$198,A27,Data!$H$2:$H$198)</f>
        <v/>
      </c>
      <c r="D27" s="5">
        <f>AVERAGEIF(Data!$J$2:$J$198,A27,Data!$G$2:$G$198)</f>
        <v/>
      </c>
    </row>
    <row r="28">
      <c r="A28" t="inlineStr">
        <is>
          <t>Đi bộ</t>
        </is>
      </c>
      <c r="B28">
        <f>COUNTIF(Data!$J$2:$J$198,A28)</f>
        <v/>
      </c>
      <c r="C28" s="5">
        <f>AVERAGEIF(Data!$J$2:$J$198,A28,Data!$H$2:$H$198)</f>
        <v/>
      </c>
      <c r="D28" s="5">
        <f>AVERAGEIF(Data!$J$2:$J$198,A28,Data!$G$2:$G$198)</f>
        <v/>
      </c>
    </row>
    <row r="30">
      <c r="A30" s="4" t="inlineStr">
        <is>
          <t>Theo Ngành học</t>
        </is>
      </c>
    </row>
    <row r="31">
      <c r="A31" s="3" t="inlineStr">
        <is>
          <t>Nhóm</t>
        </is>
      </c>
      <c r="B31" s="3" t="inlineStr">
        <is>
          <t>Số lượng</t>
        </is>
      </c>
      <c r="C31" s="3" t="inlineStr">
        <is>
          <t>Giá TB (triệu)</t>
        </is>
      </c>
      <c r="D31" s="3" t="inlineStr">
        <is>
          <t>Khoảng cách TB (km)</t>
        </is>
      </c>
    </row>
    <row r="32">
      <c r="A32" t="inlineStr">
        <is>
          <t>An toàn thông tin</t>
        </is>
      </c>
      <c r="B32">
        <f>COUNTIF(Data!$D$2:$D$198,A32)</f>
        <v/>
      </c>
      <c r="C32" s="5">
        <f>AVERAGEIF(Data!$D$2:$D$198,A32,Data!$H$2:$H$198)</f>
        <v/>
      </c>
      <c r="D32" s="5">
        <f>AVERAGEIF(Data!$D$2:$D$198,A32,Data!$G$2:$G$198)</f>
        <v/>
      </c>
    </row>
    <row r="33">
      <c r="A33" t="inlineStr">
        <is>
          <t>Công nghệ thông tin</t>
        </is>
      </c>
      <c r="B33">
        <f>COUNTIF(Data!$D$2:$D$198,A33)</f>
        <v/>
      </c>
      <c r="C33" s="5">
        <f>AVERAGEIF(Data!$D$2:$D$198,A33,Data!$H$2:$H$198)</f>
        <v/>
      </c>
      <c r="D33" s="5">
        <f>AVERAGEIF(Data!$D$2:$D$198,A33,Data!$G$2:$G$198)</f>
        <v/>
      </c>
    </row>
    <row r="34">
      <c r="A34" t="inlineStr">
        <is>
          <t>Quản trị kinh doanh</t>
        </is>
      </c>
      <c r="B34">
        <f>COUNTIF(Data!$D$2:$D$198,A34)</f>
        <v/>
      </c>
      <c r="C34" s="5">
        <f>AVERAGEIF(Data!$D$2:$D$198,A34,Data!$H$2:$H$198)</f>
        <v/>
      </c>
      <c r="D34" s="5">
        <f>AVERAGEIF(Data!$D$2:$D$198,A34,Data!$G$2:$G$198)</f>
        <v/>
      </c>
    </row>
    <row r="35">
      <c r="A35" t="inlineStr">
        <is>
          <t>Thiết kế mỹ thuật số</t>
        </is>
      </c>
      <c r="B35">
        <f>COUNTIF(Data!$D$2:$D$198,A35)</f>
        <v/>
      </c>
      <c r="C35" s="5">
        <f>AVERAGEIF(Data!$D$2:$D$198,A35,Data!$H$2:$H$198)</f>
        <v/>
      </c>
      <c r="D35" s="5">
        <f>AVERAGEIF(Data!$D$2:$D$198,A35,Data!$G$2:$G$198)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2026-07-20T15:44:30Z</dcterms:created>
  <dcterms:modified xmlns:dcterms="http://purl.org/dc/terms/" xmlns:xsi="http://www.w3.org/2001/XMLSchema-instance" xsi:type="dcterms:W3CDTF">2026-07-20T15:44:30Z</dcterms:modified>
</cp:coreProperties>
</file>