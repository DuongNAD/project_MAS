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18f0647a35841dd" /></Relationships>
</file>

<file path=xl/workbook.xml><?xml version="1.0" encoding="utf-8"?>
<x:workbook xmlns:x="http://schemas.openxmlformats.org/spreadsheetml/2006/main">
  <x:sheets>
    <x:sheet xmlns:r="http://schemas.openxmlformats.org/officeDocument/2006/relationships" name="DuLieuSach" sheetId="1" r:id="Rc7793f14cd9940d9"/>
    <x:sheet xmlns:r="http://schemas.openxmlformats.org/officeDocument/2006/relationships" name="TrinhBay" sheetId="2" r:id="R80b04d67711248a1"/>
    <x:sheet xmlns:r="http://schemas.openxmlformats.org/officeDocument/2006/relationships" name="LamSach" sheetId="3" r:id="R873429fb5147448a"/>
    <x:sheet xmlns:r="http://schemas.openxmlformats.org/officeDocument/2006/relationships" name="MauHoiQuy" sheetId="4" r:id="R1ab325b1048a4e97"/>
    <x:sheet xmlns:r="http://schemas.openxmlformats.org/officeDocument/2006/relationships" name="UocLuongOLS" sheetId="5" r:id="R2c266fb8e6cc46dc"/>
    <x:sheet xmlns:r="http://schemas.openxmlformats.org/officeDocument/2006/relationships" name="SoSanhMau" sheetId="6" r:id="Rb97d57b6cc8d4b39"/>
    <x:sheet xmlns:r="http://schemas.openxmlformats.org/officeDocument/2006/relationships" name="PhanTichNhom" sheetId="7" r:id="Rdab00a99f81c4a81"/>
    <x:sheet xmlns:r="http://schemas.openxmlformats.org/officeDocument/2006/relationships" name="BangNoi" sheetId="8" r:id="R9bec401a7c9e4897"/>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0"/>
    <x:numFmt numFmtId="201" formatCode="0"/>
    <x:numFmt numFmtId="202" formatCode="0.0000"/>
    <x:numFmt numFmtId="203" formatCode="0.00E+00"/>
    <x:numFmt numFmtId="204" formatCode="0.0%"/>
    <x:numFmt numFmtId="205" formatCode="0.00"/>
    <x:numFmt numFmtId="206" formatCode="0.000"/>
    <x:numFmt numFmtId="207" formatCode="0.00%"/>
  </x:numFmts>
  <x:fonts count="10">
    <x:font>
      <x:sz val="11"/>
      <x:name val="Carlito"/>
    </x:font>
    <x:font>
      <x:b/>
      <x:sz val="11"/>
      <x:color rgb="FFFFFFFF"/>
      <x:name val="Carlito"/>
    </x:font>
    <x:font>
      <x:b/>
      <x:sz val="17"/>
      <x:color rgb="FFFFFFFF"/>
      <x:name val="Carlito"/>
    </x:font>
    <x:font>
      <x:b/>
      <x:sz val="12"/>
      <x:color rgb="FF2E7D32"/>
      <x:name val="Carlito"/>
    </x:font>
    <x:font>
      <x:b/>
      <x:sz val="11"/>
      <x:color rgb="FFC00000"/>
      <x:name val="Carlito"/>
    </x:font>
    <x:font>
      <x:i/>
      <x:sz val="11"/>
      <x:color rgb="FF101828"/>
      <x:name val="Carlito"/>
    </x:font>
    <x:font>
      <x:i/>
      <x:sz val="11"/>
      <x:color rgb="FF667085"/>
      <x:name val="Carlito"/>
    </x:font>
    <x:font>
      <x:b/>
      <x:sz val="11"/>
      <x:name val="Carlito"/>
    </x:font>
    <x:font>
      <x:b/>
      <x:sz val="14"/>
      <x:color rgb="FFFFFFFF"/>
      <x:name val="Carlito"/>
    </x:font>
    <x:font>
      <x:b/>
      <x:sz val="11"/>
      <x:color rgb="FF1F4E78"/>
      <x:name val="Carlito"/>
    </x:font>
  </x:fonts>
  <x:fills count="12">
    <x:fill>
      <x:patternFill patternType="none"/>
    </x:fill>
    <x:fill>
      <x:patternFill patternType="gray125"/>
    </x:fill>
    <x:fill>
      <x:patternFill patternType="solid">
        <x:fgColor rgb="FF2E7D32"/>
      </x:patternFill>
    </x:fill>
    <x:fill>
      <x:patternFill patternType="solid">
        <x:fgColor rgb="FF1F4E78"/>
      </x:patternFill>
    </x:fill>
    <x:fill>
      <x:patternFill patternType="solid">
        <x:fgColor rgb="FFF8FAFC"/>
      </x:patternFill>
    </x:fill>
    <x:fill>
      <x:patternFill patternType="solid">
        <x:fgColor rgb="FF17324D"/>
      </x:patternFill>
    </x:fill>
    <x:fill>
      <x:patternFill patternType="solid">
        <x:fgColor rgb="FF0F766E"/>
      </x:patternFill>
    </x:fill>
    <x:fill>
      <x:patternFill patternType="solid">
        <x:fgColor rgb="FFE8F5E9"/>
      </x:patternFill>
    </x:fill>
    <x:fill>
      <x:patternFill patternType="solid">
        <x:fgColor rgb="FFFFF2CC"/>
      </x:patternFill>
    </x:fill>
    <x:fill>
      <x:patternFill patternType="solid">
        <x:fgColor rgb="FFF4F8FB"/>
      </x:patternFill>
    </x:fill>
    <x:fill>
      <x:patternFill patternType="solid">
        <x:fgColor rgb="FFFCE8E6"/>
      </x:patternFill>
    </x:fill>
    <x:fill>
      <x:patternFill patternType="solid">
        <x:fgColor rgb="FFEAF2F8"/>
      </x:patternFill>
    </x:fill>
  </x:fills>
  <x:borders count="64">
    <x:border/>
    <x:border/>
    <x:border>
      <x:left style="thin">
        <x:color rgb="FFD0D5DD"/>
      </x:left>
      <x:right style="thin">
        <x:color rgb="FFD0D5DD"/>
      </x:right>
      <x:top style="thin">
        <x:color rgb="FFD0D5DD"/>
      </x:top>
      <x:bottom style="thin">
        <x:color rgb="FFD0D5DD"/>
      </x:bottom>
    </x:border>
    <x:border>
      <x:left style="thin">
        <x:color rgb="FFD0D5DD"/>
      </x:left>
      <x:right style="thin">
        <x:color rgb="FFD0D5DD"/>
      </x:right>
      <x:top style="thin">
        <x:color rgb="FFD0D5DD"/>
      </x:top>
      <x:bottom style="thin">
        <x:color rgb="FFD0D5DD"/>
      </x:bottom>
    </x:border>
    <x:border>
      <x:bottom style="thin">
        <x:color rgb="FFEAECF0"/>
      </x:bottom>
    </x:border>
    <x:border>
      <x:top style="thin">
        <x:color rgb="FFEAECF0"/>
      </x:top>
      <x:bottom style="thin">
        <x:color rgb="FFEAECF0"/>
      </x:bottom>
    </x:border>
    <x:border>
      <x:top style="thin">
        <x:color rgb="FFEAECF0"/>
      </x:top>
    </x:border>
    <x:border>
      <x:bottom style="thin">
        <x:color rgb="FFEAECF0"/>
      </x:bottom>
    </x:border>
    <x:border>
      <x:top style="thin">
        <x:color rgb="FFEAECF0"/>
      </x:top>
      <x:bottom style="thin">
        <x:color rgb="FFEAECF0"/>
      </x:bottom>
    </x:border>
    <x:border>
      <x:top style="thin">
        <x:color rgb="FFEAECF0"/>
      </x:top>
    </x:border>
    <x:border>
      <x:left style="thin">
        <x:color rgb="FFF4B183"/>
      </x:left>
      <x:right style="thin">
        <x:color rgb="FFF4B183"/>
      </x:right>
      <x:top style="thin">
        <x:color rgb="FFF4B183"/>
      </x:top>
      <x:bottom style="thin">
        <x:color rgb="FFF4B183"/>
      </x:bottom>
    </x:border>
    <x:border>
      <x:left style="thin">
        <x:color rgb="FFF4B183"/>
      </x:left>
      <x:right style="thin">
        <x:color rgb="FFF4B183"/>
      </x:right>
      <x:top style="thin">
        <x:color rgb="FFF4B183"/>
      </x:top>
      <x:bottom style="thin">
        <x:color rgb="FFF4B183"/>
      </x:bottom>
    </x:border>
    <x:border>
      <x:bottom style="thin">
        <x:color rgb="FFD0D5DD"/>
      </x:bottom>
    </x:border>
    <x:border>
      <x:top style="thin">
        <x:color rgb="FFD0D5DD"/>
      </x:top>
      <x:bottom style="thin">
        <x:color rgb="FFD0D5DD"/>
      </x:bottom>
    </x:border>
    <x:border>
      <x:bottom style="thin">
        <x:color rgb="FFD0D5DD"/>
      </x:bottom>
    </x:border>
    <x:border>
      <x:top style="thin">
        <x:color rgb="FFD0D5DD"/>
      </x:top>
      <x:bottom style="thin">
        <x:color rgb="FFD0D5DD"/>
      </x:bottom>
    </x:border>
    <x:border>
      <x:left style="thin">
        <x:color rgb="FFF4B183"/>
      </x:left>
      <x:right style="thin">
        <x:color rgb="FFF4B183"/>
      </x:right>
      <x:bottom style="thin">
        <x:color rgb="FFD0D5DD"/>
      </x:bottom>
    </x:border>
    <x:border>
      <x:left style="thin">
        <x:color rgb="FFF4B183"/>
      </x:left>
      <x:right style="thin">
        <x:color rgb="FFF4B183"/>
      </x:right>
      <x:bottom style="thin">
        <x:color rgb="FFD0D5DD"/>
      </x:bottom>
    </x:border>
    <x:border>
      <x:left style="thin">
        <x:color rgb="FFD0D5DD"/>
      </x:left>
    </x:border>
    <x:border>
      <x:right style="thin">
        <x:color rgb="FFD0D5DD"/>
      </x:right>
    </x:border>
    <x:border>
      <x:left style="thin">
        <x:color rgb="FFD0D5DD"/>
      </x:left>
      <x:bottom style="thin">
        <x:color rgb="FFD0D5DD"/>
      </x:bottom>
    </x:border>
    <x:border>
      <x:right style="thin">
        <x:color rgb="FFD0D5DD"/>
      </x:right>
      <x:bottom style="thin">
        <x:color rgb="FFD0D5DD"/>
      </x:bottom>
    </x:border>
    <x:border>
      <x:left style="thin">
        <x:color rgb="FFD0D5DD"/>
      </x:left>
    </x:border>
    <x:border>
      <x:right style="thin">
        <x:color rgb="FFD0D5DD"/>
      </x:right>
    </x:border>
    <x:border>
      <x:left style="thin">
        <x:color rgb="FFD0D5DD"/>
      </x:left>
      <x:bottom style="thin">
        <x:color rgb="FFD0D5DD"/>
      </x:bottom>
    </x:border>
    <x:border>
      <x:right style="thin">
        <x:color rgb="FFD0D5DD"/>
      </x:right>
      <x:bottom style="thin">
        <x:color rgb="FFD0D5DD"/>
      </x:bottom>
    </x:border>
    <x:border>
      <x:left style="thin">
        <x:color rgb="FFF4B183"/>
      </x:left>
      <x:top style="thin">
        <x:color rgb="FFF4B183"/>
      </x:top>
    </x:border>
    <x:border>
      <x:top style="thin">
        <x:color rgb="FFF4B183"/>
      </x:top>
    </x:border>
    <x:border>
      <x:right style="thin">
        <x:color rgb="FFF4B183"/>
      </x:right>
      <x:top style="thin">
        <x:color rgb="FFF4B183"/>
      </x:top>
    </x:border>
    <x:border>
      <x:left style="thin">
        <x:color rgb="FFF4B183"/>
      </x:left>
    </x:border>
    <x:border>
      <x:right style="thin">
        <x:color rgb="FFF4B183"/>
      </x:right>
    </x:border>
    <x:border>
      <x:left style="thin">
        <x:color rgb="FFF4B183"/>
      </x:left>
      <x:bottom style="thin">
        <x:color rgb="FFF4B183"/>
      </x:bottom>
    </x:border>
    <x:border>
      <x:bottom style="thin">
        <x:color rgb="FFF4B183"/>
      </x:bottom>
    </x:border>
    <x:border>
      <x:right style="thin">
        <x:color rgb="FFF4B183"/>
      </x:right>
      <x:bottom style="thin">
        <x:color rgb="FFF4B183"/>
      </x:bottom>
    </x:border>
    <x:border>
      <x:left style="thin">
        <x:color rgb="FFF4B183"/>
      </x:left>
      <x:top style="thin">
        <x:color rgb="FFF4B183"/>
      </x:top>
    </x:border>
    <x:border>
      <x:top style="thin">
        <x:color rgb="FFF4B183"/>
      </x:top>
    </x:border>
    <x:border>
      <x:right style="thin">
        <x:color rgb="FFF4B183"/>
      </x:right>
      <x:top style="thin">
        <x:color rgb="FFF4B183"/>
      </x:top>
    </x:border>
    <x:border>
      <x:left style="thin">
        <x:color rgb="FFF4B183"/>
      </x:left>
    </x:border>
    <x:border>
      <x:right style="thin">
        <x:color rgb="FFF4B183"/>
      </x:right>
    </x:border>
    <x:border>
      <x:left style="thin">
        <x:color rgb="FFF4B183"/>
      </x:left>
      <x:bottom style="thin">
        <x:color rgb="FFF4B183"/>
      </x:bottom>
    </x:border>
    <x:border>
      <x:bottom style="thin">
        <x:color rgb="FFF4B183"/>
      </x:bottom>
    </x:border>
    <x:border>
      <x:right style="thin">
        <x:color rgb="FFF4B183"/>
      </x:right>
      <x:bottom style="thin">
        <x:color rgb="FFF4B183"/>
      </x:bottom>
    </x:border>
    <x:border>
      <x:left style="thin">
        <x:color rgb="FFD0D5DD"/>
      </x:left>
      <x:top style="thin">
        <x:color rgb="FFD0D5DD"/>
      </x:top>
    </x:border>
    <x:border>
      <x:top style="thin">
        <x:color rgb="FFD0D5DD"/>
      </x:top>
    </x:border>
    <x:border>
      <x:right style="thin">
        <x:color rgb="FFD0D5DD"/>
      </x:right>
      <x:top style="thin">
        <x:color rgb="FFD0D5DD"/>
      </x:top>
    </x:border>
    <x:border>
      <x:left style="thin">
        <x:color rgb="FFD0D5DD"/>
      </x:left>
      <x:top style="thin">
        <x:color rgb="FFD0D5DD"/>
      </x:top>
    </x:border>
    <x:border>
      <x:top style="thin">
        <x:color rgb="FFD0D5DD"/>
      </x:top>
    </x:border>
    <x:border>
      <x:right style="thin">
        <x:color rgb="FFD0D5DD"/>
      </x:right>
      <x:top style="thin">
        <x:color rgb="FFD0D5DD"/>
      </x:top>
    </x:border>
    <x:border>
      <x:left style="thin">
        <x:color rgb="FF0F766E"/>
      </x:left>
      <x:top style="thin">
        <x:color rgb="FF0F766E"/>
      </x:top>
    </x:border>
    <x:border>
      <x:top style="thin">
        <x:color rgb="FF0F766E"/>
      </x:top>
    </x:border>
    <x:border>
      <x:right style="thin">
        <x:color rgb="FF0F766E"/>
      </x:right>
      <x:top style="thin">
        <x:color rgb="FF0F766E"/>
      </x:top>
    </x:border>
    <x:border>
      <x:left style="thin">
        <x:color rgb="FF0F766E"/>
      </x:left>
    </x:border>
    <x:border>
      <x:right style="thin">
        <x:color rgb="FF0F766E"/>
      </x:right>
    </x:border>
    <x:border>
      <x:left style="thin">
        <x:color rgb="FF0F766E"/>
      </x:left>
      <x:bottom style="thin">
        <x:color rgb="FF0F766E"/>
      </x:bottom>
    </x:border>
    <x:border>
      <x:bottom style="thin">
        <x:color rgb="FF0F766E"/>
      </x:bottom>
    </x:border>
    <x:border>
      <x:right style="thin">
        <x:color rgb="FF0F766E"/>
      </x:right>
      <x:bottom style="thin">
        <x:color rgb="FF0F766E"/>
      </x:bottom>
    </x:border>
    <x:border>
      <x:left style="thin">
        <x:color rgb="FF0F766E"/>
      </x:left>
      <x:top style="thin">
        <x:color rgb="FF0F766E"/>
      </x:top>
    </x:border>
    <x:border>
      <x:top style="thin">
        <x:color rgb="FF0F766E"/>
      </x:top>
    </x:border>
    <x:border>
      <x:right style="thin">
        <x:color rgb="FF0F766E"/>
      </x:right>
      <x:top style="thin">
        <x:color rgb="FF0F766E"/>
      </x:top>
    </x:border>
    <x:border>
      <x:left style="thin">
        <x:color rgb="FF0F766E"/>
      </x:left>
    </x:border>
    <x:border>
      <x:right style="thin">
        <x:color rgb="FF0F766E"/>
      </x:right>
    </x:border>
    <x:border>
      <x:left style="thin">
        <x:color rgb="FF0F766E"/>
      </x:left>
      <x:bottom style="thin">
        <x:color rgb="FF0F766E"/>
      </x:bottom>
    </x:border>
    <x:border>
      <x:bottom style="thin">
        <x:color rgb="FF0F766E"/>
      </x:bottom>
    </x:border>
    <x:border>
      <x:right style="thin">
        <x:color rgb="FF0F766E"/>
      </x:right>
      <x:bottom style="thin">
        <x:color rgb="FF0F766E"/>
      </x:bottom>
    </x:border>
  </x:borders>
  <x:cellStyleXfs count="1">
    <x:xf numFmtId="0" fontId="0" fillId="0" borderId="0"/>
  </x:cellStyleXfs>
  <x:cellXfs count="498">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200" fontId="0" fillId="0" borderId="4" xfId="0" applyNumberFormat="1" applyFont="1" applyFill="1" applyBorder="1"/>
    <x:xf numFmtId="200" fontId="0" fillId="0" borderId="5" xfId="0" applyNumberFormat="1" applyFont="1" applyFill="1" applyBorder="1"/>
    <x:xf numFmtId="200" fontId="0" fillId="0" borderId="6" xfId="0" applyNumberFormat="1" applyFont="1" applyFill="1" applyBorder="1"/>
    <x:xf numFmtId="200" fontId="0" fillId="0" borderId="7" xfId="0" applyNumberFormat="1" applyFont="1" applyFill="1" applyBorder="1"/>
    <x:xf numFmtId="200" fontId="0" fillId="0" borderId="8" xfId="0" applyNumberFormat="1" applyFont="1" applyFill="1" applyBorder="1"/>
    <x:xf numFmtId="200" fontId="0" fillId="0" borderId="9" xfId="0" applyNumberFormat="1" applyFont="1" applyFill="1" applyBorder="1"/>
    <x:xf numFmtId="201" fontId="0" fillId="0" borderId="4" xfId="0" applyNumberFormat="1" applyFont="1" applyFill="1" applyBorder="1"/>
    <x:xf numFmtId="201" fontId="0" fillId="0" borderId="5" xfId="0" applyNumberFormat="1" applyFont="1" applyFill="1" applyBorder="1"/>
    <x:xf numFmtId="201" fontId="0" fillId="0" borderId="6" xfId="0" applyNumberFormat="1" applyFont="1" applyFill="1" applyBorder="1"/>
    <x:xf numFmtId="201" fontId="0" fillId="0" borderId="7" xfId="0" applyNumberFormat="1" applyFont="1" applyFill="1" applyBorder="1"/>
    <x:xf numFmtId="201" fontId="0" fillId="0" borderId="8" xfId="0" applyNumberFormat="1" applyFont="1" applyFill="1" applyBorder="1"/>
    <x:xf numFmtId="201" fontId="0" fillId="0" borderId="9" xfId="0" applyNumberFormat="1" applyFont="1" applyFill="1" applyBorder="1"/>
    <x:xf numFmtId="0" fontId="0" fillId="3" borderId="0" xfId="0" applyNumberFormat="1" applyFont="1" applyFill="1" applyBorder="1"/>
    <x:xf numFmtId="0" fontId="0" fillId="3" borderId="1" xfId="0" applyNumberFormat="1" applyFont="1" applyFill="1" applyBorder="1"/>
    <x:xf numFmtId="0" fontId="1" fillId="3" borderId="0" xfId="0" applyNumberFormat="1" applyFont="1" applyFill="1" applyBorder="1"/>
    <x:xf numFmtId="0" fontId="1" fillId="3" borderId="1" xfId="0" applyNumberFormat="1" applyFont="1" applyFill="1" applyBorder="1"/>
    <x:xf numFmtId="0" fontId="1" fillId="3" borderId="2" xfId="0" applyNumberFormat="1" applyFont="1" applyFill="1" applyBorder="1"/>
    <x:xf numFmtId="0" fontId="1" fillId="3" borderId="3" xfId="0" applyNumberFormat="1" applyFont="1" applyFill="1" applyBorder="1"/>
    <x:xf numFmtId="0" fontId="1" fillId="3" borderId="2" xfId="0" applyNumberFormat="1" applyFont="1" applyFill="1" applyBorder="1" applyAlignment="1">
      <x:alignment wrapText="1"/>
    </x:xf>
    <x:xf numFmtId="0" fontId="1" fillId="3" borderId="3" xfId="0" applyNumberFormat="1" applyFont="1" applyFill="1" applyBorder="1" applyAlignment="1">
      <x:alignment wrapText="1"/>
    </x:xf>
    <x:xf numFmtId="0" fontId="1" fillId="3" borderId="2" xfId="0" applyNumberFormat="1" applyFont="1" applyFill="1" applyBorder="1" applyAlignment="1">
      <x:alignment horizontal="center" wrapText="1"/>
    </x:xf>
    <x:xf numFmtId="0" fontId="1" fillId="3" borderId="3" xfId="0" applyNumberFormat="1" applyFont="1" applyFill="1" applyBorder="1" applyAlignment="1">
      <x:alignment horizontal="center" wrapText="1"/>
    </x:xf>
    <x:xf numFmtId="0" fontId="1" fillId="3" borderId="2" xfId="0" applyNumberFormat="1" applyFont="1" applyFill="1" applyBorder="1" applyAlignment="1">
      <x:alignment horizontal="center" vertical="center" wrapText="1"/>
    </x:xf>
    <x:xf numFmtId="0" fontId="1" fillId="3" borderId="3" xfId="0" applyNumberFormat="1" applyFont="1" applyFill="1" applyBorder="1" applyAlignment="1">
      <x:alignment horizontal="center" vertical="center" wrapText="1"/>
    </x:xf>
    <x:xf numFmtId="202" fontId="0" fillId="0" borderId="0" xfId="0" applyNumberFormat="1" applyFont="1" applyFill="1" applyBorder="1"/>
    <x:xf numFmtId="202" fontId="0" fillId="0" borderId="1" xfId="0" applyNumberFormat="1" applyFont="1" applyFill="1" applyBorder="1"/>
    <x:xf numFmtId="202" fontId="0" fillId="0" borderId="4" xfId="0" applyNumberFormat="1" applyFont="1" applyFill="1" applyBorder="1"/>
    <x:xf numFmtId="202" fontId="0" fillId="0" borderId="5" xfId="0" applyNumberFormat="1" applyFont="1" applyFill="1" applyBorder="1"/>
    <x:xf numFmtId="202" fontId="0" fillId="0" borderId="6" xfId="0" applyNumberFormat="1" applyFont="1" applyFill="1" applyBorder="1"/>
    <x:xf numFmtId="202" fontId="0" fillId="0" borderId="7" xfId="0" applyNumberFormat="1" applyFont="1" applyFill="1" applyBorder="1"/>
    <x:xf numFmtId="202" fontId="0" fillId="0" borderId="8" xfId="0" applyNumberFormat="1" applyFont="1" applyFill="1" applyBorder="1"/>
    <x:xf numFmtId="202" fontId="0" fillId="0" borderId="9" xfId="0" applyNumberFormat="1" applyFont="1" applyFill="1" applyBorder="1"/>
    <x:xf numFmtId="202" fontId="0" fillId="4" borderId="4" xfId="0" applyNumberFormat="1" applyFont="1" applyFill="1" applyBorder="1"/>
    <x:xf numFmtId="202" fontId="0" fillId="4" borderId="5" xfId="0" applyNumberFormat="1" applyFont="1" applyFill="1" applyBorder="1"/>
    <x:xf numFmtId="202" fontId="0" fillId="4" borderId="6" xfId="0" applyNumberFormat="1" applyFont="1" applyFill="1" applyBorder="1"/>
    <x:xf numFmtId="202" fontId="0" fillId="4" borderId="7" xfId="0" applyNumberFormat="1" applyFont="1" applyFill="1" applyBorder="1"/>
    <x:xf numFmtId="202" fontId="0" fillId="4" borderId="8" xfId="0" applyNumberFormat="1" applyFont="1" applyFill="1" applyBorder="1"/>
    <x:xf numFmtId="202" fontId="0" fillId="4" borderId="9"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2" fillId="5" borderId="0" xfId="0" applyNumberFormat="1" applyFont="1" applyFill="1" applyBorder="1"/>
    <x:xf numFmtId="0" fontId="2" fillId="5" borderId="1" xfId="0" applyNumberFormat="1" applyFont="1" applyFill="1" applyBorder="1"/>
    <x:xf numFmtId="0" fontId="2" fillId="5" borderId="0" xfId="0" applyNumberFormat="1" applyFont="1" applyFill="1" applyBorder="1" applyAlignment="1">
      <x:alignment horizontal="left"/>
    </x:xf>
    <x:xf numFmtId="0" fontId="2" fillId="5" borderId="1" xfId="0" applyNumberFormat="1" applyFont="1" applyFill="1" applyBorder="1" applyAlignment="1">
      <x:alignment horizontal="left"/>
    </x:xf>
    <x:xf numFmtId="0" fontId="2" fillId="5" borderId="0" xfId="0" applyNumberFormat="1" applyFont="1" applyFill="1" applyBorder="1" applyAlignment="1">
      <x:alignment horizontal="left" vertical="center"/>
    </x:xf>
    <x:xf numFmtId="0" fontId="2" fillId="5" borderId="1" xfId="0" applyNumberFormat="1" applyFont="1" applyFill="1" applyBorder="1" applyAlignment="1">
      <x:alignment horizontal="left" vertical="center"/>
    </x:xf>
    <x:xf numFmtId="0" fontId="1" fillId="3" borderId="0" xfId="0" applyNumberFormat="1" applyFont="1" applyFill="1" applyBorder="1" applyAlignment="1">
      <x:alignment horizontal="left"/>
    </x:xf>
    <x:xf numFmtId="0" fontId="1" fillId="3" borderId="1" xfId="0" applyNumberFormat="1" applyFont="1" applyFill="1" applyBorder="1" applyAlignment="1">
      <x:alignment horizontal="left"/>
    </x:xf>
    <x:xf numFmtId="0" fontId="1" fillId="3" borderId="0" xfId="0" applyNumberFormat="1" applyFont="1" applyFill="1" applyBorder="1" applyAlignment="1">
      <x:alignment horizontal="left" vertical="center"/>
    </x:xf>
    <x:xf numFmtId="0" fontId="1" fillId="3" borderId="1" xfId="0" applyNumberFormat="1" applyFont="1" applyFill="1" applyBorder="1" applyAlignment="1">
      <x:alignment horizontal="left" vertical="center"/>
    </x:xf>
    <x:xf numFmtId="0" fontId="0" fillId="6" borderId="0" xfId="0" applyNumberFormat="1" applyFont="1" applyFill="1" applyBorder="1"/>
    <x:xf numFmtId="0" fontId="0" fillId="6" borderId="1" xfId="0" applyNumberFormat="1" applyFont="1" applyFill="1" applyBorder="1"/>
    <x:xf numFmtId="0" fontId="1" fillId="6" borderId="0" xfId="0" applyNumberFormat="1" applyFont="1" applyFill="1" applyBorder="1"/>
    <x:xf numFmtId="0" fontId="1" fillId="6" borderId="1" xfId="0" applyNumberFormat="1" applyFont="1" applyFill="1" applyBorder="1"/>
    <x:xf numFmtId="0" fontId="0" fillId="7" borderId="0" xfId="0" applyNumberFormat="1" applyFont="1" applyFill="1" applyBorder="1"/>
    <x:xf numFmtId="0" fontId="0" fillId="7" borderId="1" xfId="0" applyNumberFormat="1" applyFont="1" applyFill="1" applyBorder="1"/>
    <x:xf numFmtId="0" fontId="3" fillId="7" borderId="0" xfId="0" applyNumberFormat="1" applyFont="1" applyFill="1" applyBorder="1"/>
    <x:xf numFmtId="0" fontId="3" fillId="7" borderId="1" xfId="0" applyNumberFormat="1" applyFont="1" applyFill="1" applyBorder="1"/>
    <x:xf numFmtId="0" fontId="3" fillId="7" borderId="0" xfId="0" applyNumberFormat="1" applyFont="1" applyFill="1" applyBorder="1" applyAlignment="1">
      <x:alignment horizontal="center"/>
    </x:xf>
    <x:xf numFmtId="0" fontId="3" fillId="7" borderId="1" xfId="0" applyNumberFormat="1" applyFont="1" applyFill="1" applyBorder="1" applyAlignment="1">
      <x:alignment horizontal="center"/>
    </x:xf>
    <x:xf numFmtId="0" fontId="0" fillId="8" borderId="0" xfId="0" applyNumberFormat="1" applyFont="1" applyFill="1" applyBorder="1"/>
    <x:xf numFmtId="0" fontId="0" fillId="8" borderId="1" xfId="0" applyNumberFormat="1" applyFont="1" applyFill="1" applyBorder="1"/>
    <x:xf numFmtId="0" fontId="4" fillId="8" borderId="0" xfId="0" applyNumberFormat="1" applyFont="1" applyFill="1" applyBorder="1"/>
    <x:xf numFmtId="0" fontId="4" fillId="8" borderId="1" xfId="0" applyNumberFormat="1" applyFont="1" applyFill="1" applyBorder="1"/>
    <x:xf numFmtId="0" fontId="4" fillId="8" borderId="10" xfId="0" applyNumberFormat="1" applyFont="1" applyFill="1" applyBorder="1"/>
    <x:xf numFmtId="0" fontId="4" fillId="8" borderId="11" xfId="0" applyNumberFormat="1" applyFont="1" applyFill="1" applyBorder="1"/>
    <x:xf numFmtId="202" fontId="1" fillId="3" borderId="0" xfId="0" applyNumberFormat="1" applyFont="1" applyFill="1" applyBorder="1" applyAlignment="1">
      <x:alignment horizontal="left" vertical="center"/>
    </x:xf>
    <x:xf numFmtId="202" fontId="1" fillId="3" borderId="2" xfId="0" applyNumberFormat="1" applyFont="1" applyFill="1" applyBorder="1" applyAlignment="1">
      <x:alignment horizontal="center" vertical="center" wrapText="1"/>
    </x:xf>
    <x:xf numFmtId="202" fontId="3" fillId="7" borderId="0" xfId="0" applyNumberFormat="1" applyFont="1" applyFill="1" applyBorder="1" applyAlignment="1">
      <x:alignment horizontal="center"/>
    </x:xf>
    <x:xf numFmtId="202" fontId="1" fillId="3" borderId="1" xfId="0" applyNumberFormat="1" applyFont="1" applyFill="1" applyBorder="1" applyAlignment="1">
      <x:alignment horizontal="left" vertical="center"/>
    </x:xf>
    <x:xf numFmtId="202" fontId="1" fillId="3" borderId="3" xfId="0" applyNumberFormat="1" applyFont="1" applyFill="1" applyBorder="1" applyAlignment="1">
      <x:alignment horizontal="center" vertical="center" wrapText="1"/>
    </x:xf>
    <x:xf numFmtId="202" fontId="3" fillId="7" borderId="1" xfId="0" applyNumberFormat="1" applyFont="1" applyFill="1" applyBorder="1" applyAlignment="1">
      <x:alignment horizontal="center"/>
    </x:xf>
    <x:xf numFmtId="201" fontId="0" fillId="0" borderId="0" xfId="0" applyNumberFormat="1" applyFont="1" applyFill="1" applyBorder="1"/>
    <x:xf numFmtId="201"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202" fontId="4" fillId="8" borderId="10" xfId="0" applyNumberFormat="1" applyFont="1" applyFill="1" applyBorder="1"/>
    <x:xf numFmtId="202" fontId="4" fillId="8" borderId="11" xfId="0" applyNumberFormat="1" applyFont="1" applyFill="1" applyBorder="1"/>
    <x:xf numFmtId="0" fontId="0" fillId="0" borderId="12" xfId="0" applyNumberFormat="1" applyFont="1" applyFill="1" applyBorder="1"/>
    <x:xf numFmtId="201" fontId="0" fillId="0" borderId="12" xfId="0" applyNumberFormat="1" applyFont="1" applyFill="1" applyBorder="1"/>
    <x:xf numFmtId="0" fontId="0" fillId="0" borderId="13" xfId="0" applyNumberFormat="1" applyFont="1" applyFill="1" applyBorder="1"/>
    <x:xf numFmtId="202" fontId="0" fillId="0" borderId="13" xfId="0" applyNumberFormat="1" applyFont="1" applyFill="1" applyBorder="1"/>
    <x:xf numFmtId="0" fontId="0" fillId="0" borderId="14" xfId="0" applyNumberFormat="1" applyFont="1" applyFill="1" applyBorder="1"/>
    <x:xf numFmtId="201" fontId="0" fillId="0" borderId="14" xfId="0" applyNumberFormat="1" applyFont="1" applyFill="1" applyBorder="1"/>
    <x:xf numFmtId="0" fontId="0" fillId="0" borderId="15" xfId="0" applyNumberFormat="1" applyFont="1" applyFill="1" applyBorder="1"/>
    <x:xf numFmtId="202" fontId="0" fillId="0" borderId="15" xfId="0" applyNumberFormat="1" applyFont="1" applyFill="1" applyBorder="1"/>
    <x:xf numFmtId="0" fontId="0" fillId="0" borderId="12" xfId="0" applyNumberFormat="1" applyFont="1" applyFill="1" applyBorder="1" applyAlignment="1">
      <x:alignment vertical="center"/>
    </x:xf>
    <x:xf numFmtId="201" fontId="0" fillId="0" borderId="12" xfId="0" applyNumberFormat="1" applyFont="1" applyFill="1" applyBorder="1" applyAlignment="1">
      <x:alignment vertical="center"/>
    </x:xf>
    <x:xf numFmtId="0" fontId="0" fillId="0" borderId="13" xfId="0" applyNumberFormat="1" applyFont="1" applyFill="1" applyBorder="1" applyAlignment="1">
      <x:alignment vertical="center"/>
    </x:xf>
    <x:xf numFmtId="202" fontId="0" fillId="0" borderId="13" xfId="0" applyNumberFormat="1" applyFont="1" applyFill="1" applyBorder="1" applyAlignment="1">
      <x:alignment vertical="center"/>
    </x:xf>
    <x:xf numFmtId="0" fontId="0" fillId="0" borderId="14" xfId="0" applyNumberFormat="1" applyFont="1" applyFill="1" applyBorder="1" applyAlignment="1">
      <x:alignment vertical="center"/>
    </x:xf>
    <x:xf numFmtId="201" fontId="0" fillId="0" borderId="14" xfId="0" applyNumberFormat="1" applyFont="1" applyFill="1" applyBorder="1" applyAlignment="1">
      <x:alignment vertical="center"/>
    </x:xf>
    <x:xf numFmtId="0" fontId="0" fillId="0" borderId="15" xfId="0" applyNumberFormat="1" applyFont="1" applyFill="1" applyBorder="1" applyAlignment="1">
      <x:alignment vertical="center"/>
    </x:xf>
    <x:xf numFmtId="202" fontId="0" fillId="0" borderId="15" xfId="0" applyNumberFormat="1" applyFont="1" applyFill="1" applyBorder="1" applyAlignment="1">
      <x:alignment vertical="center"/>
    </x:xf>
    <x:xf numFmtId="202" fontId="0" fillId="0" borderId="12" xfId="0" applyNumberFormat="1" applyFont="1" applyFill="1" applyBorder="1"/>
    <x:xf numFmtId="202" fontId="0" fillId="0" borderId="14" xfId="0" applyNumberFormat="1" applyFont="1" applyFill="1" applyBorder="1"/>
    <x:xf numFmtId="202" fontId="0" fillId="0" borderId="12" xfId="0" applyNumberFormat="1" applyFont="1" applyFill="1" applyBorder="1" applyAlignment="1">
      <x:alignment vertical="center"/>
    </x:xf>
    <x:xf numFmtId="202" fontId="0" fillId="0" borderId="14" xfId="0" applyNumberFormat="1" applyFont="1" applyFill="1" applyBorder="1" applyAlignment="1">
      <x:alignment vertical="center"/>
    </x:xf>
    <x:xf numFmtId="203" fontId="0" fillId="0" borderId="13" xfId="0" applyNumberFormat="1" applyFont="1" applyFill="1" applyBorder="1"/>
    <x:xf numFmtId="203" fontId="0" fillId="0" borderId="15" xfId="0" applyNumberFormat="1" applyFont="1" applyFill="1" applyBorder="1"/>
    <x:xf numFmtId="203" fontId="0" fillId="0" borderId="13" xfId="0" applyNumberFormat="1" applyFont="1" applyFill="1" applyBorder="1" applyAlignment="1">
      <x:alignment vertical="center"/>
    </x:xf>
    <x:xf numFmtId="203" fontId="0" fillId="0" borderId="15" xfId="0" applyNumberFormat="1" applyFont="1" applyFill="1" applyBorder="1" applyAlignment="1">
      <x:alignment vertical="center"/>
    </x:xf>
    <x:xf numFmtId="202" fontId="4" fillId="8" borderId="16" xfId="0" applyNumberFormat="1" applyFont="1" applyFill="1" applyBorder="1"/>
    <x:xf numFmtId="202" fontId="4" fillId="8" borderId="17" xfId="0" applyNumberFormat="1" applyFont="1" applyFill="1" applyBorder="1"/>
    <x:xf numFmtId="202" fontId="4" fillId="8" borderId="16" xfId="0" applyNumberFormat="1" applyFont="1" applyFill="1" applyBorder="1" applyAlignment="1">
      <x:alignment vertical="center"/>
    </x:xf>
    <x:xf numFmtId="202" fontId="4" fillId="8" borderId="17" xfId="0" applyNumberFormat="1" applyFont="1" applyFill="1" applyBorder="1" applyAlignment="1">
      <x:alignment vertical="center"/>
    </x:xf>
    <x:xf numFmtId="0" fontId="0" fillId="0" borderId="12" xfId="0" applyNumberFormat="1" applyFont="1" applyFill="1" applyBorder="1" applyAlignment="1">
      <x:alignment vertical="center" wrapText="1"/>
    </x:xf>
    <x:xf numFmtId="0" fontId="0" fillId="0" borderId="13" xfId="0" applyNumberFormat="1" applyFont="1" applyFill="1" applyBorder="1" applyAlignment="1">
      <x:alignment vertical="center" wrapText="1"/>
    </x:xf>
    <x:xf numFmtId="0" fontId="0" fillId="0" borderId="0" xfId="0" applyNumberFormat="1" applyFont="1" applyFill="1" applyBorder="1" applyAlignment="1">
      <x:alignment wrapText="1"/>
    </x:xf>
    <x:xf numFmtId="0" fontId="1" fillId="3" borderId="0" xfId="0" applyNumberFormat="1" applyFont="1" applyFill="1" applyBorder="1" applyAlignment="1">
      <x:alignment horizontal="left" vertical="center" wrapText="1"/>
    </x:xf>
    <x:xf numFmtId="0" fontId="3" fillId="7" borderId="0" xfId="0" applyNumberFormat="1" applyFont="1" applyFill="1" applyBorder="1" applyAlignment="1">
      <x:alignment horizontal="center" wrapText="1"/>
    </x:xf>
    <x:xf numFmtId="0" fontId="0" fillId="0" borderId="14" xfId="0" applyNumberFormat="1" applyFont="1" applyFill="1" applyBorder="1" applyAlignment="1">
      <x:alignment vertical="center" wrapText="1"/>
    </x:xf>
    <x:xf numFmtId="0" fontId="0" fillId="0" borderId="15" xfId="0" applyNumberFormat="1" applyFont="1" applyFill="1" applyBorder="1" applyAlignment="1">
      <x:alignment vertical="center" wrapText="1"/>
    </x:xf>
    <x:xf numFmtId="0" fontId="0" fillId="0" borderId="1" xfId="0" applyNumberFormat="1" applyFont="1" applyFill="1" applyBorder="1" applyAlignment="1">
      <x:alignment wrapText="1"/>
    </x:xf>
    <x:xf numFmtId="0" fontId="1" fillId="3" borderId="1" xfId="0" applyNumberFormat="1" applyFont="1" applyFill="1" applyBorder="1" applyAlignment="1">
      <x:alignment horizontal="left" vertical="center" wrapText="1"/>
    </x:xf>
    <x:xf numFmtId="0" fontId="3" fillId="7" borderId="1" xfId="0" applyNumberFormat="1" applyFont="1" applyFill="1" applyBorder="1" applyAlignment="1">
      <x:alignment horizontal="center" wrapText="1"/>
    </x:xf>
    <x:xf numFmtId="204" fontId="0" fillId="0" borderId="0" xfId="0" applyNumberFormat="1" applyFont="1" applyFill="1" applyBorder="1"/>
    <x:xf numFmtId="204" fontId="0" fillId="0" borderId="1" xfId="0" applyNumberFormat="1" applyFont="1" applyFill="1" applyBorder="1"/>
    <x:xf numFmtId="0" fontId="1" fillId="9" borderId="2" xfId="0" applyNumberFormat="1" applyFont="1" applyFill="1" applyBorder="1" applyAlignment="1">
      <x:alignment horizontal="center" vertical="center" wrapText="1"/>
    </x:xf>
    <x:xf numFmtId="0" fontId="0" fillId="9" borderId="0" xfId="0" applyNumberFormat="1" applyFont="1" applyFill="1" applyBorder="1"/>
    <x:xf numFmtId="0" fontId="1" fillId="9" borderId="3" xfId="0" applyNumberFormat="1" applyFont="1" applyFill="1" applyBorder="1" applyAlignment="1">
      <x:alignment horizontal="center" vertical="center" wrapText="1"/>
    </x:xf>
    <x:xf numFmtId="0" fontId="0" fillId="9" borderId="1" xfId="0" applyNumberFormat="1" applyFont="1" applyFill="1" applyBorder="1"/>
    <x:xf numFmtId="0" fontId="0" fillId="9" borderId="18" xfId="0" applyNumberFormat="1" applyFont="1" applyFill="1" applyBorder="1"/>
    <x:xf numFmtId="0" fontId="0" fillId="9" borderId="19" xfId="0" applyNumberFormat="1" applyFont="1" applyFill="1" applyBorder="1"/>
    <x:xf numFmtId="0" fontId="0" fillId="9" borderId="20" xfId="0" applyNumberFormat="1" applyFont="1" applyFill="1" applyBorder="1"/>
    <x:xf numFmtId="0" fontId="0" fillId="9" borderId="21" xfId="0" applyNumberFormat="1" applyFont="1" applyFill="1" applyBorder="1"/>
    <x:xf numFmtId="0" fontId="0" fillId="9" borderId="22" xfId="0" applyNumberFormat="1" applyFont="1" applyFill="1" applyBorder="1"/>
    <x:xf numFmtId="0" fontId="0" fillId="9" borderId="23" xfId="0" applyNumberFormat="1" applyFont="1" applyFill="1" applyBorder="1"/>
    <x:xf numFmtId="0" fontId="0" fillId="9" borderId="24" xfId="0" applyNumberFormat="1" applyFont="1" applyFill="1" applyBorder="1"/>
    <x:xf numFmtId="0" fontId="0" fillId="9" borderId="25" xfId="0" applyNumberFormat="1" applyFont="1" applyFill="1" applyBorder="1"/>
    <x:xf numFmtId="0" fontId="0" fillId="9" borderId="18" xfId="0" applyNumberFormat="1" applyFont="1" applyFill="1" applyBorder="1" applyAlignment="1">
      <x:alignment wrapText="1"/>
    </x:xf>
    <x:xf numFmtId="0" fontId="0" fillId="9" borderId="19" xfId="0" applyNumberFormat="1" applyFont="1" applyFill="1" applyBorder="1" applyAlignment="1">
      <x:alignment wrapText="1"/>
    </x:xf>
    <x:xf numFmtId="0" fontId="0" fillId="9" borderId="20" xfId="0" applyNumberFormat="1" applyFont="1" applyFill="1" applyBorder="1" applyAlignment="1">
      <x:alignment wrapText="1"/>
    </x:xf>
    <x:xf numFmtId="0" fontId="0" fillId="9" borderId="21" xfId="0" applyNumberFormat="1" applyFont="1" applyFill="1" applyBorder="1" applyAlignment="1">
      <x:alignment wrapText="1"/>
    </x:xf>
    <x:xf numFmtId="0" fontId="0" fillId="9" borderId="22" xfId="0" applyNumberFormat="1" applyFont="1" applyFill="1" applyBorder="1" applyAlignment="1">
      <x:alignment wrapText="1"/>
    </x:xf>
    <x:xf numFmtId="0" fontId="0" fillId="9" borderId="23" xfId="0" applyNumberFormat="1" applyFont="1" applyFill="1" applyBorder="1" applyAlignment="1">
      <x:alignment wrapText="1"/>
    </x:xf>
    <x:xf numFmtId="0" fontId="0" fillId="9" borderId="24" xfId="0" applyNumberFormat="1" applyFont="1" applyFill="1" applyBorder="1" applyAlignment="1">
      <x:alignment wrapText="1"/>
    </x:xf>
    <x:xf numFmtId="0" fontId="0" fillId="9" borderId="25" xfId="0" applyNumberFormat="1" applyFont="1" applyFill="1" applyBorder="1" applyAlignment="1">
      <x:alignment wrapText="1"/>
    </x:xf>
    <x:xf numFmtId="0" fontId="0" fillId="9" borderId="18" xfId="0" applyNumberFormat="1" applyFont="1" applyFill="1" applyBorder="1" applyAlignment="1">
      <x:alignment vertical="center" wrapText="1"/>
    </x:xf>
    <x:xf numFmtId="0" fontId="0" fillId="9" borderId="19" xfId="0" applyNumberFormat="1" applyFont="1" applyFill="1" applyBorder="1" applyAlignment="1">
      <x:alignment vertical="center" wrapText="1"/>
    </x:xf>
    <x:xf numFmtId="0" fontId="0" fillId="9" borderId="20" xfId="0" applyNumberFormat="1" applyFont="1" applyFill="1" applyBorder="1" applyAlignment="1">
      <x:alignment vertical="center" wrapText="1"/>
    </x:xf>
    <x:xf numFmtId="0" fontId="0" fillId="9" borderId="21" xfId="0" applyNumberFormat="1" applyFont="1" applyFill="1" applyBorder="1" applyAlignment="1">
      <x:alignment vertical="center" wrapText="1"/>
    </x:xf>
    <x:xf numFmtId="0" fontId="0" fillId="9" borderId="22" xfId="0" applyNumberFormat="1" applyFont="1" applyFill="1" applyBorder="1" applyAlignment="1">
      <x:alignment vertical="center" wrapText="1"/>
    </x:xf>
    <x:xf numFmtId="0" fontId="0" fillId="9" borderId="23" xfId="0" applyNumberFormat="1" applyFont="1" applyFill="1" applyBorder="1" applyAlignment="1">
      <x:alignment vertical="center" wrapText="1"/>
    </x:xf>
    <x:xf numFmtId="0" fontId="0" fillId="9" borderId="24" xfId="0" applyNumberFormat="1" applyFont="1" applyFill="1" applyBorder="1" applyAlignment="1">
      <x:alignment vertical="center" wrapText="1"/>
    </x:xf>
    <x:xf numFmtId="0" fontId="0" fillId="9" borderId="25" xfId="0" applyNumberFormat="1" applyFont="1" applyFill="1" applyBorder="1" applyAlignment="1">
      <x:alignment vertical="center" wrapText="1"/>
    </x:xf>
    <x:xf numFmtId="0" fontId="1" fillId="7" borderId="2" xfId="0" applyNumberFormat="1" applyFont="1" applyFill="1" applyBorder="1" applyAlignment="1">
      <x:alignment horizontal="center" vertical="center" wrapText="1"/>
    </x:xf>
    <x:xf numFmtId="204" fontId="0" fillId="7" borderId="0" xfId="0" applyNumberFormat="1" applyFont="1" applyFill="1" applyBorder="1"/>
    <x:xf numFmtId="0" fontId="1" fillId="7" borderId="3" xfId="0" applyNumberFormat="1" applyFont="1" applyFill="1" applyBorder="1" applyAlignment="1">
      <x:alignment horizontal="center" vertical="center" wrapText="1"/>
    </x:xf>
    <x:xf numFmtId="204" fontId="0" fillId="7" borderId="1" xfId="0" applyNumberFormat="1" applyFont="1" applyFill="1" applyBorder="1"/>
    <x:xf numFmtId="0" fontId="0" fillId="7" borderId="18" xfId="0" applyNumberFormat="1" applyFont="1" applyFill="1" applyBorder="1"/>
    <x:xf numFmtId="204" fontId="0" fillId="7" borderId="19" xfId="0" applyNumberFormat="1" applyFont="1" applyFill="1" applyBorder="1"/>
    <x:xf numFmtId="0" fontId="0" fillId="7" borderId="19" xfId="0" applyNumberFormat="1" applyFont="1" applyFill="1" applyBorder="1"/>
    <x:xf numFmtId="0" fontId="0" fillId="7" borderId="20" xfId="0" applyNumberFormat="1" applyFont="1" applyFill="1" applyBorder="1"/>
    <x:xf numFmtId="0" fontId="0" fillId="7" borderId="21" xfId="0" applyNumberFormat="1" applyFont="1" applyFill="1" applyBorder="1"/>
    <x:xf numFmtId="0" fontId="0" fillId="7" borderId="22" xfId="0" applyNumberFormat="1" applyFont="1" applyFill="1" applyBorder="1"/>
    <x:xf numFmtId="204" fontId="0" fillId="7" borderId="23" xfId="0" applyNumberFormat="1" applyFont="1" applyFill="1" applyBorder="1"/>
    <x:xf numFmtId="0" fontId="0" fillId="7" borderId="23" xfId="0" applyNumberFormat="1" applyFont="1" applyFill="1" applyBorder="1"/>
    <x:xf numFmtId="0" fontId="0" fillId="7" borderId="24" xfId="0" applyNumberFormat="1" applyFont="1" applyFill="1" applyBorder="1"/>
    <x:xf numFmtId="0" fontId="0" fillId="7" borderId="25" xfId="0" applyNumberFormat="1" applyFont="1" applyFill="1" applyBorder="1"/>
    <x:xf numFmtId="0" fontId="0" fillId="7" borderId="18" xfId="0" applyNumberFormat="1" applyFont="1" applyFill="1" applyBorder="1" applyAlignment="1">
      <x:alignment wrapText="1"/>
    </x:xf>
    <x:xf numFmtId="204" fontId="0" fillId="7" borderId="19" xfId="0" applyNumberFormat="1" applyFont="1" applyFill="1" applyBorder="1" applyAlignment="1">
      <x:alignment wrapText="1"/>
    </x:xf>
    <x:xf numFmtId="0" fontId="0" fillId="7" borderId="19" xfId="0" applyNumberFormat="1" applyFont="1" applyFill="1" applyBorder="1" applyAlignment="1">
      <x:alignment wrapText="1"/>
    </x:xf>
    <x:xf numFmtId="0" fontId="0" fillId="7" borderId="20" xfId="0" applyNumberFormat="1" applyFont="1" applyFill="1" applyBorder="1" applyAlignment="1">
      <x:alignment wrapText="1"/>
    </x:xf>
    <x:xf numFmtId="0" fontId="0" fillId="7" borderId="21" xfId="0" applyNumberFormat="1" applyFont="1" applyFill="1" applyBorder="1" applyAlignment="1">
      <x:alignment wrapText="1"/>
    </x:xf>
    <x:xf numFmtId="0" fontId="0" fillId="7" borderId="22" xfId="0" applyNumberFormat="1" applyFont="1" applyFill="1" applyBorder="1" applyAlignment="1">
      <x:alignment wrapText="1"/>
    </x:xf>
    <x:xf numFmtId="204" fontId="0" fillId="7" borderId="23" xfId="0" applyNumberFormat="1" applyFont="1" applyFill="1" applyBorder="1" applyAlignment="1">
      <x:alignment wrapText="1"/>
    </x:xf>
    <x:xf numFmtId="0" fontId="0" fillId="7" borderId="23" xfId="0" applyNumberFormat="1" applyFont="1" applyFill="1" applyBorder="1" applyAlignment="1">
      <x:alignment wrapText="1"/>
    </x:xf>
    <x:xf numFmtId="0" fontId="0" fillId="7" borderId="24" xfId="0" applyNumberFormat="1" applyFont="1" applyFill="1" applyBorder="1" applyAlignment="1">
      <x:alignment wrapText="1"/>
    </x:xf>
    <x:xf numFmtId="0" fontId="0" fillId="7" borderId="25" xfId="0" applyNumberFormat="1" applyFont="1" applyFill="1" applyBorder="1" applyAlignment="1">
      <x:alignment wrapText="1"/>
    </x:xf>
    <x:xf numFmtId="0" fontId="0" fillId="7" borderId="18" xfId="0" applyNumberFormat="1" applyFont="1" applyFill="1" applyBorder="1" applyAlignment="1">
      <x:alignment vertical="center" wrapText="1"/>
    </x:xf>
    <x:xf numFmtId="204" fontId="0" fillId="7" borderId="19" xfId="0" applyNumberFormat="1" applyFont="1" applyFill="1" applyBorder="1" applyAlignment="1">
      <x:alignment vertical="center" wrapText="1"/>
    </x:xf>
    <x:xf numFmtId="0" fontId="0" fillId="7" borderId="19" xfId="0" applyNumberFormat="1" applyFont="1" applyFill="1" applyBorder="1" applyAlignment="1">
      <x:alignment vertical="center" wrapText="1"/>
    </x:xf>
    <x:xf numFmtId="0" fontId="0" fillId="7" borderId="20" xfId="0" applyNumberFormat="1" applyFont="1" applyFill="1" applyBorder="1" applyAlignment="1">
      <x:alignment vertical="center" wrapText="1"/>
    </x:xf>
    <x:xf numFmtId="0" fontId="0" fillId="7" borderId="21" xfId="0" applyNumberFormat="1" applyFont="1" applyFill="1" applyBorder="1" applyAlignment="1">
      <x:alignment vertical="center" wrapText="1"/>
    </x:xf>
    <x:xf numFmtId="0" fontId="0" fillId="7" borderId="22" xfId="0" applyNumberFormat="1" applyFont="1" applyFill="1" applyBorder="1" applyAlignment="1">
      <x:alignment vertical="center" wrapText="1"/>
    </x:xf>
    <x:xf numFmtId="204" fontId="0" fillId="7" borderId="23" xfId="0" applyNumberFormat="1" applyFont="1" applyFill="1" applyBorder="1" applyAlignment="1">
      <x:alignment vertical="center" wrapText="1"/>
    </x:xf>
    <x:xf numFmtId="0" fontId="0" fillId="7" borderId="23" xfId="0" applyNumberFormat="1" applyFont="1" applyFill="1" applyBorder="1" applyAlignment="1">
      <x:alignment vertical="center" wrapText="1"/>
    </x:xf>
    <x:xf numFmtId="0" fontId="0" fillId="7" borderId="24" xfId="0" applyNumberFormat="1" applyFont="1" applyFill="1" applyBorder="1" applyAlignment="1">
      <x:alignment vertical="center" wrapText="1"/>
    </x:xf>
    <x:xf numFmtId="0" fontId="0" fillId="7" borderId="25" xfId="0" applyNumberFormat="1" applyFont="1" applyFill="1" applyBorder="1" applyAlignment="1">
      <x:alignment vertical="center" wrapText="1"/>
    </x:xf>
    <x:xf numFmtId="0" fontId="0" fillId="7" borderId="12" xfId="0" applyNumberFormat="1" applyFont="1" applyFill="1" applyBorder="1" applyAlignment="1">
      <x:alignment vertical="center" wrapText="1"/>
    </x:xf>
    <x:xf numFmtId="0" fontId="0" fillId="7" borderId="13" xfId="0" applyNumberFormat="1" applyFont="1" applyFill="1" applyBorder="1" applyAlignment="1">
      <x:alignment vertical="center" wrapText="1"/>
    </x:xf>
    <x:xf numFmtId="0" fontId="0" fillId="7" borderId="14" xfId="0" applyNumberFormat="1" applyFont="1" applyFill="1" applyBorder="1" applyAlignment="1">
      <x:alignment vertical="center" wrapText="1"/>
    </x:xf>
    <x:xf numFmtId="0" fontId="0" fillId="7" borderId="15" xfId="0" applyNumberFormat="1" applyFont="1" applyFill="1" applyBorder="1" applyAlignment="1">
      <x:alignment vertical="center" wrapText="1"/>
    </x:xf>
    <x:xf numFmtId="0" fontId="0" fillId="10" borderId="13" xfId="0" applyNumberFormat="1" applyFont="1" applyFill="1" applyBorder="1" applyAlignment="1">
      <x:alignment vertical="center" wrapText="1"/>
    </x:xf>
    <x:xf numFmtId="0" fontId="0" fillId="10" borderId="15" xfId="0" applyNumberFormat="1" applyFont="1" applyFill="1" applyBorder="1" applyAlignment="1">
      <x:alignment vertical="center" wrapText="1"/>
    </x:xf>
    <x:xf numFmtId="201" fontId="0" fillId="0" borderId="13" xfId="0" applyNumberFormat="1" applyFont="1" applyFill="1" applyBorder="1"/>
    <x:xf numFmtId="201" fontId="0" fillId="0" borderId="15" xfId="0" applyNumberFormat="1" applyFont="1" applyFill="1" applyBorder="1"/>
    <x:xf numFmtId="201" fontId="0" fillId="0" borderId="13" xfId="0" applyNumberFormat="1" applyFont="1" applyFill="1" applyBorder="1" applyAlignment="1">
      <x:alignment vertical="center"/>
    </x:xf>
    <x:xf numFmtId="201" fontId="0" fillId="0" borderId="15" xfId="0" applyNumberFormat="1" applyFont="1" applyFill="1" applyBorder="1" applyAlignment="1">
      <x:alignment vertical="center"/>
    </x:xf>
    <x:xf numFmtId="0" fontId="0" fillId="10" borderId="12" xfId="0" applyNumberFormat="1" applyFont="1" applyFill="1" applyBorder="1" applyAlignment="1">
      <x:alignment vertical="center"/>
    </x:xf>
    <x:xf numFmtId="201" fontId="0" fillId="10" borderId="12" xfId="0" applyNumberFormat="1" applyFont="1" applyFill="1" applyBorder="1" applyAlignment="1">
      <x:alignment vertical="center"/>
    </x:xf>
    <x:xf numFmtId="202" fontId="0" fillId="10" borderId="12" xfId="0" applyNumberFormat="1" applyFont="1" applyFill="1" applyBorder="1" applyAlignment="1">
      <x:alignment vertical="center"/>
    </x:xf>
    <x:xf numFmtId="0" fontId="0" fillId="10" borderId="14" xfId="0" applyNumberFormat="1" applyFont="1" applyFill="1" applyBorder="1" applyAlignment="1">
      <x:alignment vertical="center"/>
    </x:xf>
    <x:xf numFmtId="201" fontId="0" fillId="10" borderId="14" xfId="0" applyNumberFormat="1" applyFont="1" applyFill="1" applyBorder="1" applyAlignment="1">
      <x:alignment vertical="center"/>
    </x:xf>
    <x:xf numFmtId="202" fontId="0" fillId="10" borderId="14" xfId="0" applyNumberFormat="1" applyFont="1" applyFill="1" applyBorder="1" applyAlignment="1">
      <x:alignment vertical="center"/>
    </x:xf>
    <x:xf numFmtId="0" fontId="0" fillId="7" borderId="13" xfId="0" applyNumberFormat="1" applyFont="1" applyFill="1" applyBorder="1" applyAlignment="1">
      <x:alignment vertical="center"/>
    </x:xf>
    <x:xf numFmtId="201" fontId="0" fillId="7" borderId="13" xfId="0" applyNumberFormat="1" applyFont="1" applyFill="1" applyBorder="1" applyAlignment="1">
      <x:alignment vertical="center"/>
    </x:xf>
    <x:xf numFmtId="202" fontId="0" fillId="7" borderId="13" xfId="0" applyNumberFormat="1" applyFont="1" applyFill="1" applyBorder="1" applyAlignment="1">
      <x:alignment vertical="center"/>
    </x:xf>
    <x:xf numFmtId="0" fontId="0" fillId="7" borderId="15" xfId="0" applyNumberFormat="1" applyFont="1" applyFill="1" applyBorder="1" applyAlignment="1">
      <x:alignment vertical="center"/>
    </x:xf>
    <x:xf numFmtId="201" fontId="0" fillId="7" borderId="15" xfId="0" applyNumberFormat="1" applyFont="1" applyFill="1" applyBorder="1" applyAlignment="1">
      <x:alignment vertical="center"/>
    </x:xf>
    <x:xf numFmtId="202" fontId="0" fillId="7" borderId="15" xfId="0" applyNumberFormat="1" applyFont="1" applyFill="1" applyBorder="1" applyAlignment="1">
      <x:alignment vertical="center"/>
    </x:xf>
    <x:xf numFmtId="0" fontId="5" fillId="8" borderId="0" xfId="0" applyNumberFormat="1" applyFont="1" applyFill="1" applyBorder="1"/>
    <x:xf numFmtId="0" fontId="5" fillId="8" borderId="1" xfId="0" applyNumberFormat="1" applyFont="1" applyFill="1" applyBorder="1"/>
    <x:xf numFmtId="0" fontId="5" fillId="8" borderId="26" xfId="0" applyNumberFormat="1" applyFont="1" applyFill="1" applyBorder="1"/>
    <x:xf numFmtId="0" fontId="5" fillId="8" borderId="27" xfId="0" applyNumberFormat="1" applyFont="1" applyFill="1" applyBorder="1"/>
    <x:xf numFmtId="0" fontId="5" fillId="8" borderId="28" xfId="0" applyNumberFormat="1" applyFont="1" applyFill="1" applyBorder="1"/>
    <x:xf numFmtId="0" fontId="5" fillId="8" borderId="29" xfId="0" applyNumberFormat="1" applyFont="1" applyFill="1" applyBorder="1"/>
    <x:xf numFmtId="0" fontId="5" fillId="8" borderId="30" xfId="0" applyNumberFormat="1" applyFont="1" applyFill="1" applyBorder="1"/>
    <x:xf numFmtId="0" fontId="5" fillId="8" borderId="31" xfId="0" applyNumberFormat="1" applyFont="1" applyFill="1" applyBorder="1"/>
    <x:xf numFmtId="0" fontId="5" fillId="8" borderId="32" xfId="0" applyNumberFormat="1" applyFont="1" applyFill="1" applyBorder="1"/>
    <x:xf numFmtId="0" fontId="5" fillId="8" borderId="33" xfId="0" applyNumberFormat="1" applyFont="1" applyFill="1" applyBorder="1"/>
    <x:xf numFmtId="0" fontId="5" fillId="8" borderId="34" xfId="0" applyNumberFormat="1" applyFont="1" applyFill="1" applyBorder="1"/>
    <x:xf numFmtId="0" fontId="5" fillId="8" borderId="35" xfId="0" applyNumberFormat="1" applyFont="1" applyFill="1" applyBorder="1"/>
    <x:xf numFmtId="0" fontId="5" fillId="8" borderId="36" xfId="0" applyNumberFormat="1" applyFont="1" applyFill="1" applyBorder="1"/>
    <x:xf numFmtId="0" fontId="5" fillId="8" borderId="37" xfId="0" applyNumberFormat="1" applyFont="1" applyFill="1" applyBorder="1"/>
    <x:xf numFmtId="0" fontId="5" fillId="8" borderId="38" xfId="0" applyNumberFormat="1" applyFont="1" applyFill="1" applyBorder="1"/>
    <x:xf numFmtId="0" fontId="5" fillId="8" borderId="39" xfId="0" applyNumberFormat="1" applyFont="1" applyFill="1" applyBorder="1"/>
    <x:xf numFmtId="0" fontId="5" fillId="8" borderId="40" xfId="0" applyNumberFormat="1" applyFont="1" applyFill="1" applyBorder="1"/>
    <x:xf numFmtId="0" fontId="5" fillId="8" borderId="41" xfId="0" applyNumberFormat="1" applyFont="1" applyFill="1" applyBorder="1"/>
    <x:xf numFmtId="0" fontId="5" fillId="8" borderId="26" xfId="0" applyNumberFormat="1" applyFont="1" applyFill="1" applyBorder="1" applyAlignment="1">
      <x:alignment wrapText="1"/>
    </x:xf>
    <x:xf numFmtId="0" fontId="5" fillId="8" borderId="27" xfId="0" applyNumberFormat="1" applyFont="1" applyFill="1" applyBorder="1" applyAlignment="1">
      <x:alignment wrapText="1"/>
    </x:xf>
    <x:xf numFmtId="0" fontId="5" fillId="8" borderId="28" xfId="0" applyNumberFormat="1" applyFont="1" applyFill="1" applyBorder="1" applyAlignment="1">
      <x:alignment wrapText="1"/>
    </x:xf>
    <x:xf numFmtId="0" fontId="5" fillId="8" borderId="29" xfId="0" applyNumberFormat="1" applyFont="1" applyFill="1" applyBorder="1" applyAlignment="1">
      <x:alignment wrapText="1"/>
    </x:xf>
    <x:xf numFmtId="0" fontId="5" fillId="8" borderId="0" xfId="0" applyNumberFormat="1" applyFont="1" applyFill="1" applyBorder="1" applyAlignment="1">
      <x:alignment wrapText="1"/>
    </x:xf>
    <x:xf numFmtId="0" fontId="5" fillId="8" borderId="30" xfId="0" applyNumberFormat="1" applyFont="1" applyFill="1" applyBorder="1" applyAlignment="1">
      <x:alignment wrapText="1"/>
    </x:xf>
    <x:xf numFmtId="0" fontId="5" fillId="8" borderId="31" xfId="0" applyNumberFormat="1" applyFont="1" applyFill="1" applyBorder="1" applyAlignment="1">
      <x:alignment wrapText="1"/>
    </x:xf>
    <x:xf numFmtId="0" fontId="5" fillId="8" borderId="32" xfId="0" applyNumberFormat="1" applyFont="1" applyFill="1" applyBorder="1" applyAlignment="1">
      <x:alignment wrapText="1"/>
    </x:xf>
    <x:xf numFmtId="0" fontId="5" fillId="8" borderId="33" xfId="0" applyNumberFormat="1" applyFont="1" applyFill="1" applyBorder="1" applyAlignment="1">
      <x:alignment wrapText="1"/>
    </x:xf>
    <x:xf numFmtId="0" fontId="5" fillId="8" borderId="34" xfId="0" applyNumberFormat="1" applyFont="1" applyFill="1" applyBorder="1" applyAlignment="1">
      <x:alignment wrapText="1"/>
    </x:xf>
    <x:xf numFmtId="0" fontId="5" fillId="8" borderId="35" xfId="0" applyNumberFormat="1" applyFont="1" applyFill="1" applyBorder="1" applyAlignment="1">
      <x:alignment wrapText="1"/>
    </x:xf>
    <x:xf numFmtId="0" fontId="5" fillId="8" borderId="36" xfId="0" applyNumberFormat="1" applyFont="1" applyFill="1" applyBorder="1" applyAlignment="1">
      <x:alignment wrapText="1"/>
    </x:xf>
    <x:xf numFmtId="0" fontId="5" fillId="8" borderId="37" xfId="0" applyNumberFormat="1" applyFont="1" applyFill="1" applyBorder="1" applyAlignment="1">
      <x:alignment wrapText="1"/>
    </x:xf>
    <x:xf numFmtId="0" fontId="5" fillId="8" borderId="1" xfId="0" applyNumberFormat="1" applyFont="1" applyFill="1" applyBorder="1" applyAlignment="1">
      <x:alignment wrapText="1"/>
    </x:xf>
    <x:xf numFmtId="0" fontId="5" fillId="8" borderId="38" xfId="0" applyNumberFormat="1" applyFont="1" applyFill="1" applyBorder="1" applyAlignment="1">
      <x:alignment wrapText="1"/>
    </x:xf>
    <x:xf numFmtId="0" fontId="5" fillId="8" borderId="39" xfId="0" applyNumberFormat="1" applyFont="1" applyFill="1" applyBorder="1" applyAlignment="1">
      <x:alignment wrapText="1"/>
    </x:xf>
    <x:xf numFmtId="0" fontId="5" fillId="8" borderId="40" xfId="0" applyNumberFormat="1" applyFont="1" applyFill="1" applyBorder="1" applyAlignment="1">
      <x:alignment wrapText="1"/>
    </x:xf>
    <x:xf numFmtId="0" fontId="5" fillId="8" borderId="41" xfId="0" applyNumberFormat="1" applyFont="1" applyFill="1" applyBorder="1" applyAlignment="1">
      <x:alignment wrapText="1"/>
    </x:xf>
    <x:xf numFmtId="0" fontId="5" fillId="8" borderId="26" xfId="0" applyNumberFormat="1" applyFont="1" applyFill="1" applyBorder="1" applyAlignment="1">
      <x:alignment vertical="top" wrapText="1"/>
    </x:xf>
    <x:xf numFmtId="0" fontId="5" fillId="8" borderId="27" xfId="0" applyNumberFormat="1" applyFont="1" applyFill="1" applyBorder="1" applyAlignment="1">
      <x:alignment vertical="top" wrapText="1"/>
    </x:xf>
    <x:xf numFmtId="0" fontId="5" fillId="8" borderId="28" xfId="0" applyNumberFormat="1" applyFont="1" applyFill="1" applyBorder="1" applyAlignment="1">
      <x:alignment vertical="top" wrapText="1"/>
    </x:xf>
    <x:xf numFmtId="0" fontId="5" fillId="8" borderId="29" xfId="0" applyNumberFormat="1" applyFont="1" applyFill="1" applyBorder="1" applyAlignment="1">
      <x:alignment vertical="top" wrapText="1"/>
    </x:xf>
    <x:xf numFmtId="0" fontId="5" fillId="8" borderId="0" xfId="0" applyNumberFormat="1" applyFont="1" applyFill="1" applyBorder="1" applyAlignment="1">
      <x:alignment vertical="top" wrapText="1"/>
    </x:xf>
    <x:xf numFmtId="0" fontId="5" fillId="8" borderId="30" xfId="0" applyNumberFormat="1" applyFont="1" applyFill="1" applyBorder="1" applyAlignment="1">
      <x:alignment vertical="top" wrapText="1"/>
    </x:xf>
    <x:xf numFmtId="0" fontId="5" fillId="8" borderId="31" xfId="0" applyNumberFormat="1" applyFont="1" applyFill="1" applyBorder="1" applyAlignment="1">
      <x:alignment vertical="top" wrapText="1"/>
    </x:xf>
    <x:xf numFmtId="0" fontId="5" fillId="8" borderId="32" xfId="0" applyNumberFormat="1" applyFont="1" applyFill="1" applyBorder="1" applyAlignment="1">
      <x:alignment vertical="top" wrapText="1"/>
    </x:xf>
    <x:xf numFmtId="0" fontId="5" fillId="8" borderId="33" xfId="0" applyNumberFormat="1" applyFont="1" applyFill="1" applyBorder="1" applyAlignment="1">
      <x:alignment vertical="top" wrapText="1"/>
    </x:xf>
    <x:xf numFmtId="0" fontId="5" fillId="8" borderId="34" xfId="0" applyNumberFormat="1" applyFont="1" applyFill="1" applyBorder="1" applyAlignment="1">
      <x:alignment vertical="top" wrapText="1"/>
    </x:xf>
    <x:xf numFmtId="0" fontId="5" fillId="8" borderId="35" xfId="0" applyNumberFormat="1" applyFont="1" applyFill="1" applyBorder="1" applyAlignment="1">
      <x:alignment vertical="top" wrapText="1"/>
    </x:xf>
    <x:xf numFmtId="0" fontId="5" fillId="8" borderId="36" xfId="0" applyNumberFormat="1" applyFont="1" applyFill="1" applyBorder="1" applyAlignment="1">
      <x:alignment vertical="top" wrapText="1"/>
    </x:xf>
    <x:xf numFmtId="0" fontId="5" fillId="8" borderId="37" xfId="0" applyNumberFormat="1" applyFont="1" applyFill="1" applyBorder="1" applyAlignment="1">
      <x:alignment vertical="top" wrapText="1"/>
    </x:xf>
    <x:xf numFmtId="0" fontId="5" fillId="8" borderId="1" xfId="0" applyNumberFormat="1" applyFont="1" applyFill="1" applyBorder="1" applyAlignment="1">
      <x:alignment vertical="top" wrapText="1"/>
    </x:xf>
    <x:xf numFmtId="0" fontId="5" fillId="8" borderId="38" xfId="0" applyNumberFormat="1" applyFont="1" applyFill="1" applyBorder="1" applyAlignment="1">
      <x:alignment vertical="top" wrapText="1"/>
    </x:xf>
    <x:xf numFmtId="0" fontId="5" fillId="8" borderId="39" xfId="0" applyNumberFormat="1" applyFont="1" applyFill="1" applyBorder="1" applyAlignment="1">
      <x:alignment vertical="top" wrapText="1"/>
    </x:xf>
    <x:xf numFmtId="0" fontId="5" fillId="8" borderId="40" xfId="0" applyNumberFormat="1" applyFont="1" applyFill="1" applyBorder="1" applyAlignment="1">
      <x:alignment vertical="top" wrapText="1"/>
    </x:xf>
    <x:xf numFmtId="0" fontId="5" fillId="8" borderId="41" xfId="0" applyNumberFormat="1" applyFont="1" applyFill="1" applyBorder="1" applyAlignment="1">
      <x:alignment vertical="top" wrapText="1"/>
    </x:xf>
    <x:xf numFmtId="205" fontId="0" fillId="0" borderId="12" xfId="0" applyNumberFormat="1" applyFont="1" applyFill="1" applyBorder="1" applyAlignment="1">
      <x:alignment vertical="center"/>
    </x:xf>
    <x:xf numFmtId="205" fontId="0" fillId="0" borderId="13" xfId="0" applyNumberFormat="1" applyFont="1" applyFill="1" applyBorder="1" applyAlignment="1">
      <x:alignment vertical="center"/>
    </x:xf>
    <x:xf numFmtId="205" fontId="0" fillId="0" borderId="14" xfId="0" applyNumberFormat="1" applyFont="1" applyFill="1" applyBorder="1" applyAlignment="1">
      <x:alignment vertical="center"/>
    </x:xf>
    <x:xf numFmtId="205" fontId="0" fillId="0" borderId="15" xfId="0" applyNumberFormat="1" applyFont="1" applyFill="1" applyBorder="1" applyAlignment="1">
      <x:alignment vertical="center"/>
    </x:xf>
    <x:xf numFmtId="0" fontId="0" fillId="11" borderId="0" xfId="0" applyNumberFormat="1" applyFont="1" applyFill="1" applyBorder="1"/>
    <x:xf numFmtId="0" fontId="0" fillId="11" borderId="1" xfId="0" applyNumberFormat="1" applyFont="1" applyFill="1" applyBorder="1"/>
    <x:xf numFmtId="0" fontId="6" fillId="11" borderId="0" xfId="0" applyNumberFormat="1" applyFont="1" applyFill="1" applyBorder="1"/>
    <x:xf numFmtId="0" fontId="6" fillId="11" borderId="1" xfId="0" applyNumberFormat="1" applyFont="1" applyFill="1" applyBorder="1"/>
    <x:xf numFmtId="0" fontId="6" fillId="11" borderId="0" xfId="0" applyNumberFormat="1" applyFont="1" applyFill="1" applyBorder="1" applyAlignment="1">
      <x:alignment horizontal="left"/>
    </x:xf>
    <x:xf numFmtId="0" fontId="6" fillId="11" borderId="1" xfId="0" applyNumberFormat="1" applyFont="1" applyFill="1" applyBorder="1" applyAlignment="1">
      <x:alignment horizontal="left"/>
    </x:xf>
    <x:xf numFmtId="0" fontId="0" fillId="9" borderId="42" xfId="0" applyNumberFormat="1" applyFont="1" applyFill="1" applyBorder="1"/>
    <x:xf numFmtId="0" fontId="0" fillId="9" borderId="43" xfId="0" applyNumberFormat="1" applyFont="1" applyFill="1" applyBorder="1"/>
    <x:xf numFmtId="0" fontId="0" fillId="9" borderId="44" xfId="0" applyNumberFormat="1" applyFont="1" applyFill="1" applyBorder="1"/>
    <x:xf numFmtId="0" fontId="0" fillId="9" borderId="12" xfId="0" applyNumberFormat="1" applyFont="1" applyFill="1" applyBorder="1"/>
    <x:xf numFmtId="0" fontId="0" fillId="9" borderId="45" xfId="0" applyNumberFormat="1" applyFont="1" applyFill="1" applyBorder="1"/>
    <x:xf numFmtId="0" fontId="0" fillId="9" borderId="46" xfId="0" applyNumberFormat="1" applyFont="1" applyFill="1" applyBorder="1"/>
    <x:xf numFmtId="0" fontId="0" fillId="9" borderId="47" xfId="0" applyNumberFormat="1" applyFont="1" applyFill="1" applyBorder="1"/>
    <x:xf numFmtId="0" fontId="0" fillId="9" borderId="14" xfId="0" applyNumberFormat="1" applyFont="1" applyFill="1" applyBorder="1"/>
    <x:xf numFmtId="0" fontId="0" fillId="9" borderId="42" xfId="0" applyNumberFormat="1" applyFont="1" applyFill="1" applyBorder="1" applyAlignment="1">
      <x:alignment wrapText="1"/>
    </x:xf>
    <x:xf numFmtId="0" fontId="0" fillId="9" borderId="43" xfId="0" applyNumberFormat="1" applyFont="1" applyFill="1" applyBorder="1" applyAlignment="1">
      <x:alignment wrapText="1"/>
    </x:xf>
    <x:xf numFmtId="0" fontId="0" fillId="9" borderId="44" xfId="0" applyNumberFormat="1" applyFont="1" applyFill="1" applyBorder="1" applyAlignment="1">
      <x:alignment wrapText="1"/>
    </x:xf>
    <x:xf numFmtId="0" fontId="0" fillId="9" borderId="0" xfId="0" applyNumberFormat="1" applyFont="1" applyFill="1" applyBorder="1" applyAlignment="1">
      <x:alignment wrapText="1"/>
    </x:xf>
    <x:xf numFmtId="0" fontId="0" fillId="9" borderId="12" xfId="0" applyNumberFormat="1" applyFont="1" applyFill="1" applyBorder="1" applyAlignment="1">
      <x:alignment wrapText="1"/>
    </x:xf>
    <x:xf numFmtId="0" fontId="0" fillId="9" borderId="45" xfId="0" applyNumberFormat="1" applyFont="1" applyFill="1" applyBorder="1" applyAlignment="1">
      <x:alignment wrapText="1"/>
    </x:xf>
    <x:xf numFmtId="0" fontId="0" fillId="9" borderId="46" xfId="0" applyNumberFormat="1" applyFont="1" applyFill="1" applyBorder="1" applyAlignment="1">
      <x:alignment wrapText="1"/>
    </x:xf>
    <x:xf numFmtId="0" fontId="0" fillId="9" borderId="47" xfId="0" applyNumberFormat="1" applyFont="1" applyFill="1" applyBorder="1" applyAlignment="1">
      <x:alignment wrapText="1"/>
    </x:xf>
    <x:xf numFmtId="0" fontId="0" fillId="9" borderId="1" xfId="0" applyNumberFormat="1" applyFont="1" applyFill="1" applyBorder="1" applyAlignment="1">
      <x:alignment wrapText="1"/>
    </x:xf>
    <x:xf numFmtId="0" fontId="0" fillId="9" borderId="14" xfId="0" applyNumberFormat="1" applyFont="1" applyFill="1" applyBorder="1" applyAlignment="1">
      <x:alignment wrapText="1"/>
    </x:xf>
    <x:xf numFmtId="0" fontId="0" fillId="9" borderId="42" xfId="0" applyNumberFormat="1" applyFont="1" applyFill="1" applyBorder="1" applyAlignment="1">
      <x:alignment vertical="center" wrapText="1"/>
    </x:xf>
    <x:xf numFmtId="0" fontId="0" fillId="9" borderId="43" xfId="0" applyNumberFormat="1" applyFont="1" applyFill="1" applyBorder="1" applyAlignment="1">
      <x:alignment vertical="center" wrapText="1"/>
    </x:xf>
    <x:xf numFmtId="0" fontId="0" fillId="9" borderId="44" xfId="0" applyNumberFormat="1" applyFont="1" applyFill="1" applyBorder="1" applyAlignment="1">
      <x:alignment vertical="center" wrapText="1"/>
    </x:xf>
    <x:xf numFmtId="0" fontId="0" fillId="9" borderId="0" xfId="0" applyNumberFormat="1" applyFont="1" applyFill="1" applyBorder="1" applyAlignment="1">
      <x:alignment vertical="center" wrapText="1"/>
    </x:xf>
    <x:xf numFmtId="0" fontId="0" fillId="9" borderId="12" xfId="0" applyNumberFormat="1" applyFont="1" applyFill="1" applyBorder="1" applyAlignment="1">
      <x:alignment vertical="center" wrapText="1"/>
    </x:xf>
    <x:xf numFmtId="0" fontId="0" fillId="9" borderId="45" xfId="0" applyNumberFormat="1" applyFont="1" applyFill="1" applyBorder="1" applyAlignment="1">
      <x:alignment vertical="center" wrapText="1"/>
    </x:xf>
    <x:xf numFmtId="0" fontId="0" fillId="9" borderId="46" xfId="0" applyNumberFormat="1" applyFont="1" applyFill="1" applyBorder="1" applyAlignment="1">
      <x:alignment vertical="center" wrapText="1"/>
    </x:xf>
    <x:xf numFmtId="0" fontId="0" fillId="9" borderId="47" xfId="0" applyNumberFormat="1" applyFont="1" applyFill="1" applyBorder="1" applyAlignment="1">
      <x:alignment vertical="center" wrapText="1"/>
    </x:xf>
    <x:xf numFmtId="0" fontId="0" fillId="9" borderId="1" xfId="0" applyNumberFormat="1" applyFont="1" applyFill="1" applyBorder="1" applyAlignment="1">
      <x:alignment vertical="center" wrapText="1"/>
    </x:xf>
    <x:xf numFmtId="0" fontId="0" fillId="9" borderId="14" xfId="0" applyNumberFormat="1" applyFont="1" applyFill="1" applyBorder="1" applyAlignment="1">
      <x:alignment vertical="center" wrapText="1"/>
    </x:xf>
    <x:xf numFmtId="0" fontId="0" fillId="8" borderId="42" xfId="0" applyNumberFormat="1" applyFont="1" applyFill="1" applyBorder="1"/>
    <x:xf numFmtId="0" fontId="0" fillId="8" borderId="43" xfId="0" applyNumberFormat="1" applyFont="1" applyFill="1" applyBorder="1"/>
    <x:xf numFmtId="0" fontId="0" fillId="8" borderId="44" xfId="0" applyNumberFormat="1" applyFont="1" applyFill="1" applyBorder="1"/>
    <x:xf numFmtId="0" fontId="0" fillId="8" borderId="18" xfId="0" applyNumberFormat="1" applyFont="1" applyFill="1" applyBorder="1"/>
    <x:xf numFmtId="0" fontId="0" fillId="8" borderId="19" xfId="0" applyNumberFormat="1" applyFont="1" applyFill="1" applyBorder="1"/>
    <x:xf numFmtId="0" fontId="0" fillId="8" borderId="20" xfId="0" applyNumberFormat="1" applyFont="1" applyFill="1" applyBorder="1"/>
    <x:xf numFmtId="0" fontId="0" fillId="8" borderId="12" xfId="0" applyNumberFormat="1" applyFont="1" applyFill="1" applyBorder="1"/>
    <x:xf numFmtId="0" fontId="0" fillId="8" borderId="21" xfId="0" applyNumberFormat="1" applyFont="1" applyFill="1" applyBorder="1"/>
    <x:xf numFmtId="0" fontId="0" fillId="8" borderId="45" xfId="0" applyNumberFormat="1" applyFont="1" applyFill="1" applyBorder="1"/>
    <x:xf numFmtId="0" fontId="0" fillId="8" borderId="46" xfId="0" applyNumberFormat="1" applyFont="1" applyFill="1" applyBorder="1"/>
    <x:xf numFmtId="0" fontId="0" fillId="8" borderId="47" xfId="0" applyNumberFormat="1" applyFont="1" applyFill="1" applyBorder="1"/>
    <x:xf numFmtId="0" fontId="0" fillId="8" borderId="22" xfId="0" applyNumberFormat="1" applyFont="1" applyFill="1" applyBorder="1"/>
    <x:xf numFmtId="0" fontId="0" fillId="8" borderId="23" xfId="0" applyNumberFormat="1" applyFont="1" applyFill="1" applyBorder="1"/>
    <x:xf numFmtId="0" fontId="0" fillId="8" borderId="24" xfId="0" applyNumberFormat="1" applyFont="1" applyFill="1" applyBorder="1"/>
    <x:xf numFmtId="0" fontId="0" fillId="8" borderId="14" xfId="0" applyNumberFormat="1" applyFont="1" applyFill="1" applyBorder="1"/>
    <x:xf numFmtId="0" fontId="0" fillId="8" borderId="25" xfId="0" applyNumberFormat="1" applyFont="1" applyFill="1" applyBorder="1"/>
    <x:xf numFmtId="0" fontId="0" fillId="8" borderId="42" xfId="0" applyNumberFormat="1" applyFont="1" applyFill="1" applyBorder="1" applyAlignment="1">
      <x:alignment wrapText="1"/>
    </x:xf>
    <x:xf numFmtId="0" fontId="0" fillId="8" borderId="43" xfId="0" applyNumberFormat="1" applyFont="1" applyFill="1" applyBorder="1" applyAlignment="1">
      <x:alignment wrapText="1"/>
    </x:xf>
    <x:xf numFmtId="0" fontId="0" fillId="8" borderId="44" xfId="0" applyNumberFormat="1" applyFont="1" applyFill="1" applyBorder="1" applyAlignment="1">
      <x:alignment wrapText="1"/>
    </x:xf>
    <x:xf numFmtId="0" fontId="0" fillId="8" borderId="18" xfId="0" applyNumberFormat="1" applyFont="1" applyFill="1" applyBorder="1" applyAlignment="1">
      <x:alignment wrapText="1"/>
    </x:xf>
    <x:xf numFmtId="0" fontId="0" fillId="8" borderId="0" xfId="0" applyNumberFormat="1" applyFont="1" applyFill="1" applyBorder="1" applyAlignment="1">
      <x:alignment wrapText="1"/>
    </x:xf>
    <x:xf numFmtId="0" fontId="0" fillId="8" borderId="19" xfId="0" applyNumberFormat="1" applyFont="1" applyFill="1" applyBorder="1" applyAlignment="1">
      <x:alignment wrapText="1"/>
    </x:xf>
    <x:xf numFmtId="0" fontId="0" fillId="8" borderId="20" xfId="0" applyNumberFormat="1" applyFont="1" applyFill="1" applyBorder="1" applyAlignment="1">
      <x:alignment wrapText="1"/>
    </x:xf>
    <x:xf numFmtId="0" fontId="0" fillId="8" borderId="12" xfId="0" applyNumberFormat="1" applyFont="1" applyFill="1" applyBorder="1" applyAlignment="1">
      <x:alignment wrapText="1"/>
    </x:xf>
    <x:xf numFmtId="0" fontId="0" fillId="8" borderId="21" xfId="0" applyNumberFormat="1" applyFont="1" applyFill="1" applyBorder="1" applyAlignment="1">
      <x:alignment wrapText="1"/>
    </x:xf>
    <x:xf numFmtId="0" fontId="0" fillId="8" borderId="45" xfId="0" applyNumberFormat="1" applyFont="1" applyFill="1" applyBorder="1" applyAlignment="1">
      <x:alignment wrapText="1"/>
    </x:xf>
    <x:xf numFmtId="0" fontId="0" fillId="8" borderId="46" xfId="0" applyNumberFormat="1" applyFont="1" applyFill="1" applyBorder="1" applyAlignment="1">
      <x:alignment wrapText="1"/>
    </x:xf>
    <x:xf numFmtId="0" fontId="0" fillId="8" borderId="47" xfId="0" applyNumberFormat="1" applyFont="1" applyFill="1" applyBorder="1" applyAlignment="1">
      <x:alignment wrapText="1"/>
    </x:xf>
    <x:xf numFmtId="0" fontId="0" fillId="8" borderId="22" xfId="0" applyNumberFormat="1" applyFont="1" applyFill="1" applyBorder="1" applyAlignment="1">
      <x:alignment wrapText="1"/>
    </x:xf>
    <x:xf numFmtId="0" fontId="0" fillId="8" borderId="1" xfId="0" applyNumberFormat="1" applyFont="1" applyFill="1" applyBorder="1" applyAlignment="1">
      <x:alignment wrapText="1"/>
    </x:xf>
    <x:xf numFmtId="0" fontId="0" fillId="8" borderId="23" xfId="0" applyNumberFormat="1" applyFont="1" applyFill="1" applyBorder="1" applyAlignment="1">
      <x:alignment wrapText="1"/>
    </x:xf>
    <x:xf numFmtId="0" fontId="0" fillId="8" borderId="24" xfId="0" applyNumberFormat="1" applyFont="1" applyFill="1" applyBorder="1" applyAlignment="1">
      <x:alignment wrapText="1"/>
    </x:xf>
    <x:xf numFmtId="0" fontId="0" fillId="8" borderId="14" xfId="0" applyNumberFormat="1" applyFont="1" applyFill="1" applyBorder="1" applyAlignment="1">
      <x:alignment wrapText="1"/>
    </x:xf>
    <x:xf numFmtId="0" fontId="0" fillId="8" borderId="25" xfId="0" applyNumberFormat="1" applyFont="1" applyFill="1" applyBorder="1" applyAlignment="1">
      <x:alignment wrapText="1"/>
    </x:xf>
    <x:xf numFmtId="0" fontId="0" fillId="8" borderId="42" xfId="0" applyNumberFormat="1" applyFont="1" applyFill="1" applyBorder="1" applyAlignment="1">
      <x:alignment vertical="center" wrapText="1"/>
    </x:xf>
    <x:xf numFmtId="0" fontId="0" fillId="8" borderId="43" xfId="0" applyNumberFormat="1" applyFont="1" applyFill="1" applyBorder="1" applyAlignment="1">
      <x:alignment vertical="center" wrapText="1"/>
    </x:xf>
    <x:xf numFmtId="0" fontId="0" fillId="8" borderId="44" xfId="0" applyNumberFormat="1" applyFont="1" applyFill="1" applyBorder="1" applyAlignment="1">
      <x:alignment vertical="center" wrapText="1"/>
    </x:xf>
    <x:xf numFmtId="0" fontId="0" fillId="8" borderId="18" xfId="0" applyNumberFormat="1" applyFont="1" applyFill="1" applyBorder="1" applyAlignment="1">
      <x:alignment vertical="center" wrapText="1"/>
    </x:xf>
    <x:xf numFmtId="0" fontId="0" fillId="8" borderId="0" xfId="0" applyNumberFormat="1" applyFont="1" applyFill="1" applyBorder="1" applyAlignment="1">
      <x:alignment vertical="center" wrapText="1"/>
    </x:xf>
    <x:xf numFmtId="0" fontId="0" fillId="8" borderId="19" xfId="0" applyNumberFormat="1" applyFont="1" applyFill="1" applyBorder="1" applyAlignment="1">
      <x:alignment vertical="center" wrapText="1"/>
    </x:xf>
    <x:xf numFmtId="0" fontId="0" fillId="8" borderId="20" xfId="0" applyNumberFormat="1" applyFont="1" applyFill="1" applyBorder="1" applyAlignment="1">
      <x:alignment vertical="center" wrapText="1"/>
    </x:xf>
    <x:xf numFmtId="0" fontId="0" fillId="8" borderId="12" xfId="0" applyNumberFormat="1" applyFont="1" applyFill="1" applyBorder="1" applyAlignment="1">
      <x:alignment vertical="center" wrapText="1"/>
    </x:xf>
    <x:xf numFmtId="0" fontId="0" fillId="8" borderId="21" xfId="0" applyNumberFormat="1" applyFont="1" applyFill="1" applyBorder="1" applyAlignment="1">
      <x:alignment vertical="center" wrapText="1"/>
    </x:xf>
    <x:xf numFmtId="0" fontId="0" fillId="8" borderId="45" xfId="0" applyNumberFormat="1" applyFont="1" applyFill="1" applyBorder="1" applyAlignment="1">
      <x:alignment vertical="center" wrapText="1"/>
    </x:xf>
    <x:xf numFmtId="0" fontId="0" fillId="8" borderId="46" xfId="0" applyNumberFormat="1" applyFont="1" applyFill="1" applyBorder="1" applyAlignment="1">
      <x:alignment vertical="center" wrapText="1"/>
    </x:xf>
    <x:xf numFmtId="0" fontId="0" fillId="8" borderId="47" xfId="0" applyNumberFormat="1" applyFont="1" applyFill="1" applyBorder="1" applyAlignment="1">
      <x:alignment vertical="center" wrapText="1"/>
    </x:xf>
    <x:xf numFmtId="0" fontId="0" fillId="8" borderId="22" xfId="0" applyNumberFormat="1" applyFont="1" applyFill="1" applyBorder="1" applyAlignment="1">
      <x:alignment vertical="center" wrapText="1"/>
    </x:xf>
    <x:xf numFmtId="0" fontId="0" fillId="8" borderId="1" xfId="0" applyNumberFormat="1" applyFont="1" applyFill="1" applyBorder="1" applyAlignment="1">
      <x:alignment vertical="center" wrapText="1"/>
    </x:xf>
    <x:xf numFmtId="0" fontId="0" fillId="8" borderId="23" xfId="0" applyNumberFormat="1" applyFont="1" applyFill="1" applyBorder="1" applyAlignment="1">
      <x:alignment vertical="center" wrapText="1"/>
    </x:xf>
    <x:xf numFmtId="0" fontId="0" fillId="8" borderId="24" xfId="0" applyNumberFormat="1" applyFont="1" applyFill="1" applyBorder="1" applyAlignment="1">
      <x:alignment vertical="center" wrapText="1"/>
    </x:xf>
    <x:xf numFmtId="0" fontId="0" fillId="8" borderId="14" xfId="0" applyNumberFormat="1" applyFont="1" applyFill="1" applyBorder="1" applyAlignment="1">
      <x:alignment vertical="center" wrapText="1"/>
    </x:xf>
    <x:xf numFmtId="0" fontId="0" fillId="8" borderId="25" xfId="0" applyNumberFormat="1" applyFont="1" applyFill="1" applyBorder="1" applyAlignment="1">
      <x:alignment vertical="center" wrapText="1"/>
    </x:xf>
    <x:xf numFmtId="0" fontId="0" fillId="7" borderId="42" xfId="0" applyNumberFormat="1" applyFont="1" applyFill="1" applyBorder="1"/>
    <x:xf numFmtId="0" fontId="0" fillId="7" borderId="43" xfId="0" applyNumberFormat="1" applyFont="1" applyFill="1" applyBorder="1"/>
    <x:xf numFmtId="0" fontId="0" fillId="7" borderId="44" xfId="0" applyNumberFormat="1" applyFont="1" applyFill="1" applyBorder="1"/>
    <x:xf numFmtId="0" fontId="0" fillId="7" borderId="12" xfId="0" applyNumberFormat="1" applyFont="1" applyFill="1" applyBorder="1"/>
    <x:xf numFmtId="0" fontId="0" fillId="7" borderId="45" xfId="0" applyNumberFormat="1" applyFont="1" applyFill="1" applyBorder="1"/>
    <x:xf numFmtId="0" fontId="0" fillId="7" borderId="46" xfId="0" applyNumberFormat="1" applyFont="1" applyFill="1" applyBorder="1"/>
    <x:xf numFmtId="0" fontId="0" fillId="7" borderId="47" xfId="0" applyNumberFormat="1" applyFont="1" applyFill="1" applyBorder="1"/>
    <x:xf numFmtId="0" fontId="0" fillId="7" borderId="14" xfId="0" applyNumberFormat="1" applyFont="1" applyFill="1" applyBorder="1"/>
    <x:xf numFmtId="0" fontId="7" fillId="7" borderId="42" xfId="0" applyNumberFormat="1" applyFont="1" applyFill="1" applyBorder="1"/>
    <x:xf numFmtId="0" fontId="7" fillId="7" borderId="18" xfId="0" applyNumberFormat="1" applyFont="1" applyFill="1" applyBorder="1"/>
    <x:xf numFmtId="0" fontId="7" fillId="7" borderId="20" xfId="0" applyNumberFormat="1" applyFont="1" applyFill="1" applyBorder="1"/>
    <x:xf numFmtId="0" fontId="7" fillId="7" borderId="45" xfId="0" applyNumberFormat="1" applyFont="1" applyFill="1" applyBorder="1"/>
    <x:xf numFmtId="0" fontId="7" fillId="7" borderId="22" xfId="0" applyNumberFormat="1" applyFont="1" applyFill="1" applyBorder="1"/>
    <x:xf numFmtId="0" fontId="7" fillId="7" borderId="24" xfId="0" applyNumberFormat="1" applyFont="1" applyFill="1" applyBorder="1"/>
    <x:xf numFmtId="0" fontId="3" fillId="7" borderId="43" xfId="0" applyNumberFormat="1" applyFont="1" applyFill="1" applyBorder="1"/>
    <x:xf numFmtId="0" fontId="3" fillId="7" borderId="12" xfId="0" applyNumberFormat="1" applyFont="1" applyFill="1" applyBorder="1"/>
    <x:xf numFmtId="0" fontId="3" fillId="7" borderId="46" xfId="0" applyNumberFormat="1" applyFont="1" applyFill="1" applyBorder="1"/>
    <x:xf numFmtId="0" fontId="3" fillId="7" borderId="14" xfId="0" applyNumberFormat="1" applyFont="1" applyFill="1" applyBorder="1"/>
    <x:xf numFmtId="206" fontId="0" fillId="0" borderId="0" xfId="0" applyNumberFormat="1" applyFont="1" applyFill="1" applyBorder="1"/>
    <x:xf numFmtId="206" fontId="0" fillId="0" borderId="1" xfId="0" applyNumberFormat="1" applyFont="1" applyFill="1" applyBorder="1"/>
    <x:xf numFmtId="207" fontId="0" fillId="0" borderId="0" xfId="0" applyNumberFormat="1" applyFont="1" applyFill="1" applyBorder="1"/>
    <x:xf numFmtId="207" fontId="0" fillId="0" borderId="1" xfId="0" applyNumberFormat="1" applyFont="1" applyFill="1" applyBorder="1"/>
    <x:xf numFmtId="206" fontId="0" fillId="0" borderId="12" xfId="0" applyNumberFormat="1" applyFont="1" applyFill="1" applyBorder="1"/>
    <x:xf numFmtId="206" fontId="0" fillId="0" borderId="13" xfId="0" applyNumberFormat="1" applyFont="1" applyFill="1" applyBorder="1"/>
    <x:xf numFmtId="207" fontId="0" fillId="0" borderId="13" xfId="0" applyNumberFormat="1" applyFont="1" applyFill="1" applyBorder="1"/>
    <x:xf numFmtId="206" fontId="0" fillId="0" borderId="14" xfId="0" applyNumberFormat="1" applyFont="1" applyFill="1" applyBorder="1"/>
    <x:xf numFmtId="206" fontId="0" fillId="0" borderId="15" xfId="0" applyNumberFormat="1" applyFont="1" applyFill="1" applyBorder="1"/>
    <x:xf numFmtId="207" fontId="0" fillId="0" borderId="15" xfId="0" applyNumberFormat="1" applyFont="1" applyFill="1" applyBorder="1"/>
    <x:xf numFmtId="206" fontId="0" fillId="0" borderId="12" xfId="0" applyNumberFormat="1" applyFont="1" applyFill="1" applyBorder="1" applyAlignment="1">
      <x:alignment vertical="center"/>
    </x:xf>
    <x:xf numFmtId="206" fontId="0" fillId="0" borderId="13" xfId="0" applyNumberFormat="1" applyFont="1" applyFill="1" applyBorder="1" applyAlignment="1">
      <x:alignment vertical="center"/>
    </x:xf>
    <x:xf numFmtId="207" fontId="0" fillId="0" borderId="13" xfId="0" applyNumberFormat="1" applyFont="1" applyFill="1" applyBorder="1" applyAlignment="1">
      <x:alignment vertical="center"/>
    </x:xf>
    <x:xf numFmtId="206" fontId="0" fillId="0" borderId="14" xfId="0" applyNumberFormat="1" applyFont="1" applyFill="1" applyBorder="1" applyAlignment="1">
      <x:alignment vertical="center"/>
    </x:xf>
    <x:xf numFmtId="206" fontId="0" fillId="0" borderId="15" xfId="0" applyNumberFormat="1" applyFont="1" applyFill="1" applyBorder="1" applyAlignment="1">
      <x:alignment vertical="center"/>
    </x:xf>
    <x:xf numFmtId="207" fontId="0" fillId="0" borderId="15" xfId="0" applyNumberFormat="1" applyFont="1" applyFill="1" applyBorder="1" applyAlignment="1">
      <x:alignment vertical="center"/>
    </x:xf>
    <x:xf numFmtId="0" fontId="8" fillId="6" borderId="0" xfId="0" applyNumberFormat="1" applyFont="1" applyFill="1" applyBorder="1"/>
    <x:xf numFmtId="0" fontId="8" fillId="6" borderId="1" xfId="0" applyNumberFormat="1" applyFont="1" applyFill="1" applyBorder="1"/>
    <x:xf numFmtId="0" fontId="8" fillId="6" borderId="48" xfId="0" applyNumberFormat="1" applyFont="1" applyFill="1" applyBorder="1"/>
    <x:xf numFmtId="0" fontId="8" fillId="6" borderId="49" xfId="0" applyNumberFormat="1" applyFont="1" applyFill="1" applyBorder="1"/>
    <x:xf numFmtId="0" fontId="8" fillId="6" borderId="50" xfId="0" applyNumberFormat="1" applyFont="1" applyFill="1" applyBorder="1"/>
    <x:xf numFmtId="0" fontId="8" fillId="6" borderId="51" xfId="0" applyNumberFormat="1" applyFont="1" applyFill="1" applyBorder="1"/>
    <x:xf numFmtId="0" fontId="8" fillId="6" borderId="52" xfId="0" applyNumberFormat="1" applyFont="1" applyFill="1" applyBorder="1"/>
    <x:xf numFmtId="0" fontId="8" fillId="6" borderId="53" xfId="0" applyNumberFormat="1" applyFont="1" applyFill="1" applyBorder="1"/>
    <x:xf numFmtId="0" fontId="8" fillId="6" borderId="54" xfId="0" applyNumberFormat="1" applyFont="1" applyFill="1" applyBorder="1"/>
    <x:xf numFmtId="0" fontId="8" fillId="6" borderId="55" xfId="0" applyNumberFormat="1" applyFont="1" applyFill="1" applyBorder="1"/>
    <x:xf numFmtId="0" fontId="8" fillId="6" borderId="56" xfId="0" applyNumberFormat="1" applyFont="1" applyFill="1" applyBorder="1"/>
    <x:xf numFmtId="0" fontId="8" fillId="6" borderId="57" xfId="0" applyNumberFormat="1" applyFont="1" applyFill="1" applyBorder="1"/>
    <x:xf numFmtId="0" fontId="8" fillId="6" borderId="58" xfId="0" applyNumberFormat="1" applyFont="1" applyFill="1" applyBorder="1"/>
    <x:xf numFmtId="0" fontId="8" fillId="6" borderId="59" xfId="0" applyNumberFormat="1" applyFont="1" applyFill="1" applyBorder="1"/>
    <x:xf numFmtId="0" fontId="8" fillId="6" borderId="60" xfId="0" applyNumberFormat="1" applyFont="1" applyFill="1" applyBorder="1"/>
    <x:xf numFmtId="0" fontId="8" fillId="6" borderId="61" xfId="0" applyNumberFormat="1" applyFont="1" applyFill="1" applyBorder="1"/>
    <x:xf numFmtId="0" fontId="8" fillId="6" borderId="62" xfId="0" applyNumberFormat="1" applyFont="1" applyFill="1" applyBorder="1"/>
    <x:xf numFmtId="0" fontId="8" fillId="6" borderId="63" xfId="0" applyNumberFormat="1" applyFont="1" applyFill="1" applyBorder="1"/>
    <x:xf numFmtId="0" fontId="8" fillId="6" borderId="48" xfId="0" applyNumberFormat="1" applyFont="1" applyFill="1" applyBorder="1" applyAlignment="1">
      <x:alignment horizontal="center"/>
    </x:xf>
    <x:xf numFmtId="0" fontId="8" fillId="6" borderId="49" xfId="0" applyNumberFormat="1" applyFont="1" applyFill="1" applyBorder="1" applyAlignment="1">
      <x:alignment horizontal="center"/>
    </x:xf>
    <x:xf numFmtId="0" fontId="8" fillId="6" borderId="50" xfId="0" applyNumberFormat="1" applyFont="1" applyFill="1" applyBorder="1" applyAlignment="1">
      <x:alignment horizontal="center"/>
    </x:xf>
    <x:xf numFmtId="0" fontId="8" fillId="6" borderId="51" xfId="0" applyNumberFormat="1" applyFont="1" applyFill="1" applyBorder="1" applyAlignment="1">
      <x:alignment horizontal="center"/>
    </x:xf>
    <x:xf numFmtId="0" fontId="8" fillId="6" borderId="0" xfId="0" applyNumberFormat="1" applyFont="1" applyFill="1" applyBorder="1" applyAlignment="1">
      <x:alignment horizontal="center"/>
    </x:xf>
    <x:xf numFmtId="0" fontId="8" fillId="6" borderId="52" xfId="0" applyNumberFormat="1" applyFont="1" applyFill="1" applyBorder="1" applyAlignment="1">
      <x:alignment horizontal="center"/>
    </x:xf>
    <x:xf numFmtId="0" fontId="8" fillId="6" borderId="53" xfId="0" applyNumberFormat="1" applyFont="1" applyFill="1" applyBorder="1" applyAlignment="1">
      <x:alignment horizontal="center"/>
    </x:xf>
    <x:xf numFmtId="0" fontId="8" fillId="6" borderId="54" xfId="0" applyNumberFormat="1" applyFont="1" applyFill="1" applyBorder="1" applyAlignment="1">
      <x:alignment horizontal="center"/>
    </x:xf>
    <x:xf numFmtId="0" fontId="8" fillId="6" borderId="55" xfId="0" applyNumberFormat="1" applyFont="1" applyFill="1" applyBorder="1" applyAlignment="1">
      <x:alignment horizontal="center"/>
    </x:xf>
    <x:xf numFmtId="0" fontId="8" fillId="6" borderId="56" xfId="0" applyNumberFormat="1" applyFont="1" applyFill="1" applyBorder="1" applyAlignment="1">
      <x:alignment horizontal="center"/>
    </x:xf>
    <x:xf numFmtId="0" fontId="8" fillId="6" borderId="57" xfId="0" applyNumberFormat="1" applyFont="1" applyFill="1" applyBorder="1" applyAlignment="1">
      <x:alignment horizontal="center"/>
    </x:xf>
    <x:xf numFmtId="0" fontId="8" fillId="6" borderId="58" xfId="0" applyNumberFormat="1" applyFont="1" applyFill="1" applyBorder="1" applyAlignment="1">
      <x:alignment horizontal="center"/>
    </x:xf>
    <x:xf numFmtId="0" fontId="8" fillId="6" borderId="59" xfId="0" applyNumberFormat="1" applyFont="1" applyFill="1" applyBorder="1" applyAlignment="1">
      <x:alignment horizontal="center"/>
    </x:xf>
    <x:xf numFmtId="0" fontId="8" fillId="6" borderId="1" xfId="0" applyNumberFormat="1" applyFont="1" applyFill="1" applyBorder="1" applyAlignment="1">
      <x:alignment horizontal="center"/>
    </x:xf>
    <x:xf numFmtId="0" fontId="8" fillId="6" borderId="60" xfId="0" applyNumberFormat="1" applyFont="1" applyFill="1" applyBorder="1" applyAlignment="1">
      <x:alignment horizontal="center"/>
    </x:xf>
    <x:xf numFmtId="0" fontId="8" fillId="6" borderId="61" xfId="0" applyNumberFormat="1" applyFont="1" applyFill="1" applyBorder="1" applyAlignment="1">
      <x:alignment horizontal="center"/>
    </x:xf>
    <x:xf numFmtId="0" fontId="8" fillId="6" borderId="62" xfId="0" applyNumberFormat="1" applyFont="1" applyFill="1" applyBorder="1" applyAlignment="1">
      <x:alignment horizontal="center"/>
    </x:xf>
    <x:xf numFmtId="0" fontId="8" fillId="6" borderId="63" xfId="0" applyNumberFormat="1" applyFont="1" applyFill="1" applyBorder="1" applyAlignment="1">
      <x:alignment horizontal="center"/>
    </x:xf>
    <x:xf numFmtId="0" fontId="8" fillId="6" borderId="48" xfId="0" applyNumberFormat="1" applyFont="1" applyFill="1" applyBorder="1" applyAlignment="1">
      <x:alignment horizontal="center" vertical="center"/>
    </x:xf>
    <x:xf numFmtId="0" fontId="8" fillId="6" borderId="49" xfId="0" applyNumberFormat="1" applyFont="1" applyFill="1" applyBorder="1" applyAlignment="1">
      <x:alignment horizontal="center" vertical="center"/>
    </x:xf>
    <x:xf numFmtId="0" fontId="8" fillId="6" borderId="50" xfId="0" applyNumberFormat="1" applyFont="1" applyFill="1" applyBorder="1" applyAlignment="1">
      <x:alignment horizontal="center" vertical="center"/>
    </x:xf>
    <x:xf numFmtId="0" fontId="8" fillId="6" borderId="51" xfId="0" applyNumberFormat="1" applyFont="1" applyFill="1" applyBorder="1" applyAlignment="1">
      <x:alignment horizontal="center" vertical="center"/>
    </x:xf>
    <x:xf numFmtId="0" fontId="8" fillId="6" borderId="0" xfId="0" applyNumberFormat="1" applyFont="1" applyFill="1" applyBorder="1" applyAlignment="1">
      <x:alignment horizontal="center" vertical="center"/>
    </x:xf>
    <x:xf numFmtId="0" fontId="8" fillId="6" borderId="52" xfId="0" applyNumberFormat="1" applyFont="1" applyFill="1" applyBorder="1" applyAlignment="1">
      <x:alignment horizontal="center" vertical="center"/>
    </x:xf>
    <x:xf numFmtId="0" fontId="8" fillId="6" borderId="53" xfId="0" applyNumberFormat="1" applyFont="1" applyFill="1" applyBorder="1" applyAlignment="1">
      <x:alignment horizontal="center" vertical="center"/>
    </x:xf>
    <x:xf numFmtId="0" fontId="8" fillId="6" borderId="54" xfId="0" applyNumberFormat="1" applyFont="1" applyFill="1" applyBorder="1" applyAlignment="1">
      <x:alignment horizontal="center" vertical="center"/>
    </x:xf>
    <x:xf numFmtId="0" fontId="8" fillId="6" borderId="55" xfId="0" applyNumberFormat="1" applyFont="1" applyFill="1" applyBorder="1" applyAlignment="1">
      <x:alignment horizontal="center" vertical="center"/>
    </x:xf>
    <x:xf numFmtId="0" fontId="8" fillId="6" borderId="56" xfId="0" applyNumberFormat="1" applyFont="1" applyFill="1" applyBorder="1" applyAlignment="1">
      <x:alignment horizontal="center" vertical="center"/>
    </x:xf>
    <x:xf numFmtId="0" fontId="8" fillId="6" borderId="57" xfId="0" applyNumberFormat="1" applyFont="1" applyFill="1" applyBorder="1" applyAlignment="1">
      <x:alignment horizontal="center" vertical="center"/>
    </x:xf>
    <x:xf numFmtId="0" fontId="8" fillId="6" borderId="58" xfId="0" applyNumberFormat="1" applyFont="1" applyFill="1" applyBorder="1" applyAlignment="1">
      <x:alignment horizontal="center" vertical="center"/>
    </x:xf>
    <x:xf numFmtId="0" fontId="8" fillId="6" borderId="59" xfId="0" applyNumberFormat="1" applyFont="1" applyFill="1" applyBorder="1" applyAlignment="1">
      <x:alignment horizontal="center" vertical="center"/>
    </x:xf>
    <x:xf numFmtId="0" fontId="8" fillId="6" borderId="1" xfId="0" applyNumberFormat="1" applyFont="1" applyFill="1" applyBorder="1" applyAlignment="1">
      <x:alignment horizontal="center" vertical="center"/>
    </x:xf>
    <x:xf numFmtId="0" fontId="8" fillId="6" borderId="60" xfId="0" applyNumberFormat="1" applyFont="1" applyFill="1" applyBorder="1" applyAlignment="1">
      <x:alignment horizontal="center" vertical="center"/>
    </x:xf>
    <x:xf numFmtId="0" fontId="8" fillId="6" borderId="61" xfId="0" applyNumberFormat="1" applyFont="1" applyFill="1" applyBorder="1" applyAlignment="1">
      <x:alignment horizontal="center" vertical="center"/>
    </x:xf>
    <x:xf numFmtId="0" fontId="8" fillId="6" borderId="62" xfId="0" applyNumberFormat="1" applyFont="1" applyFill="1" applyBorder="1" applyAlignment="1">
      <x:alignment horizontal="center" vertical="center"/>
    </x:xf>
    <x:xf numFmtId="0" fontId="8" fillId="6" borderId="63" xfId="0" applyNumberFormat="1" applyFont="1" applyFill="1" applyBorder="1" applyAlignment="1">
      <x:alignment horizontal="center" vertical="center"/>
    </x:xf>
    <x:xf numFmtId="0" fontId="0" fillId="7" borderId="42" xfId="0" applyNumberFormat="1" applyFont="1" applyFill="1" applyBorder="1" applyAlignment="1">
      <x:alignment wrapText="1"/>
    </x:xf>
    <x:xf numFmtId="0" fontId="0" fillId="7" borderId="43" xfId="0" applyNumberFormat="1" applyFont="1" applyFill="1" applyBorder="1" applyAlignment="1">
      <x:alignment wrapText="1"/>
    </x:xf>
    <x:xf numFmtId="0" fontId="0" fillId="7" borderId="44" xfId="0" applyNumberFormat="1" applyFont="1" applyFill="1" applyBorder="1" applyAlignment="1">
      <x:alignment wrapText="1"/>
    </x:xf>
    <x:xf numFmtId="0" fontId="0" fillId="7" borderId="0" xfId="0" applyNumberFormat="1" applyFont="1" applyFill="1" applyBorder="1" applyAlignment="1">
      <x:alignment wrapText="1"/>
    </x:xf>
    <x:xf numFmtId="0" fontId="0" fillId="7" borderId="12" xfId="0" applyNumberFormat="1" applyFont="1" applyFill="1" applyBorder="1" applyAlignment="1">
      <x:alignment wrapText="1"/>
    </x:xf>
    <x:xf numFmtId="0" fontId="0" fillId="7" borderId="45" xfId="0" applyNumberFormat="1" applyFont="1" applyFill="1" applyBorder="1" applyAlignment="1">
      <x:alignment wrapText="1"/>
    </x:xf>
    <x:xf numFmtId="0" fontId="0" fillId="7" borderId="46" xfId="0" applyNumberFormat="1" applyFont="1" applyFill="1" applyBorder="1" applyAlignment="1">
      <x:alignment wrapText="1"/>
    </x:xf>
    <x:xf numFmtId="0" fontId="0" fillId="7" borderId="47" xfId="0" applyNumberFormat="1" applyFont="1" applyFill="1" applyBorder="1" applyAlignment="1">
      <x:alignment wrapText="1"/>
    </x:xf>
    <x:xf numFmtId="0" fontId="0" fillId="7" borderId="1" xfId="0" applyNumberFormat="1" applyFont="1" applyFill="1" applyBorder="1" applyAlignment="1">
      <x:alignment wrapText="1"/>
    </x:xf>
    <x:xf numFmtId="0" fontId="0" fillId="7" borderId="14" xfId="0" applyNumberFormat="1" applyFont="1" applyFill="1" applyBorder="1" applyAlignment="1">
      <x:alignment wrapText="1"/>
    </x:xf>
    <x:xf numFmtId="0" fontId="0" fillId="7" borderId="42" xfId="0" applyNumberFormat="1" applyFont="1" applyFill="1" applyBorder="1" applyAlignment="1">
      <x:alignment vertical="center" wrapText="1"/>
    </x:xf>
    <x:xf numFmtId="0" fontId="0" fillId="7" borderId="43" xfId="0" applyNumberFormat="1" applyFont="1" applyFill="1" applyBorder="1" applyAlignment="1">
      <x:alignment vertical="center" wrapText="1"/>
    </x:xf>
    <x:xf numFmtId="0" fontId="0" fillId="7" borderId="44" xfId="0" applyNumberFormat="1" applyFont="1" applyFill="1" applyBorder="1" applyAlignment="1">
      <x:alignment vertical="center" wrapText="1"/>
    </x:xf>
    <x:xf numFmtId="0" fontId="0" fillId="7" borderId="0" xfId="0" applyNumberFormat="1" applyFont="1" applyFill="1" applyBorder="1" applyAlignment="1">
      <x:alignment vertical="center" wrapText="1"/>
    </x:xf>
    <x:xf numFmtId="0" fontId="0" fillId="7" borderId="45" xfId="0" applyNumberFormat="1" applyFont="1" applyFill="1" applyBorder="1" applyAlignment="1">
      <x:alignment vertical="center" wrapText="1"/>
    </x:xf>
    <x:xf numFmtId="0" fontId="0" fillId="7" borderId="46" xfId="0" applyNumberFormat="1" applyFont="1" applyFill="1" applyBorder="1" applyAlignment="1">
      <x:alignment vertical="center" wrapText="1"/>
    </x:xf>
    <x:xf numFmtId="0" fontId="0" fillId="7" borderId="47" xfId="0" applyNumberFormat="1" applyFont="1" applyFill="1" applyBorder="1" applyAlignment="1">
      <x:alignment vertical="center" wrapText="1"/>
    </x:xf>
    <x:xf numFmtId="0" fontId="0" fillId="7" borderId="1" xfId="0" applyNumberFormat="1" applyFont="1" applyFill="1" applyBorder="1" applyAlignment="1">
      <x:alignment vertical="center" wrapText="1"/>
    </x:xf>
    <x:xf numFmtId="0" fontId="9" fillId="0" borderId="0" xfId="0" applyNumberFormat="1" applyFont="1" applyFill="1" applyBorder="1"/>
    <x:xf numFmtId="0" fontId="9" fillId="0" borderId="1" xfId="0" applyNumberFormat="1" applyFont="1" applyFill="1" applyBorder="1"/>
    <x:xf numFmtId="0" fontId="7" fillId="0" borderId="0" xfId="0" applyNumberFormat="1" applyFont="1" applyFill="1" applyBorder="1"/>
    <x:xf numFmtId="0" fontId="7" fillId="0" borderId="1" xfId="0" applyNumberFormat="1" applyFont="1" applyFill="1" applyBorder="1"/>
    <x:xf numFmtId="0" fontId="9" fillId="0" borderId="12" xfId="0" applyNumberFormat="1" applyFont="1" applyFill="1" applyBorder="1"/>
    <x:xf numFmtId="0" fontId="7" fillId="0" borderId="12" xfId="0" applyNumberFormat="1" applyFont="1" applyFill="1" applyBorder="1"/>
    <x:xf numFmtId="0" fontId="9" fillId="0" borderId="13" xfId="0" applyNumberFormat="1" applyFont="1" applyFill="1" applyBorder="1"/>
    <x:xf numFmtId="0" fontId="7" fillId="0" borderId="13" xfId="0" applyNumberFormat="1" applyFont="1" applyFill="1" applyBorder="1"/>
    <x:xf numFmtId="0" fontId="9" fillId="0" borderId="43" xfId="0" applyNumberFormat="1" applyFont="1" applyFill="1" applyBorder="1"/>
    <x:xf numFmtId="0" fontId="7" fillId="0" borderId="43" xfId="0" applyNumberFormat="1" applyFont="1" applyFill="1" applyBorder="1"/>
    <x:xf numFmtId="0" fontId="0" fillId="0" borderId="43" xfId="0" applyNumberFormat="1" applyFont="1" applyFill="1" applyBorder="1"/>
    <x:xf numFmtId="0" fontId="9" fillId="0" borderId="14" xfId="0" applyNumberFormat="1" applyFont="1" applyFill="1" applyBorder="1"/>
    <x:xf numFmtId="0" fontId="7" fillId="0" borderId="14" xfId="0" applyNumberFormat="1" applyFont="1" applyFill="1" applyBorder="1"/>
    <x:xf numFmtId="0" fontId="9" fillId="0" borderId="15" xfId="0" applyNumberFormat="1" applyFont="1" applyFill="1" applyBorder="1"/>
    <x:xf numFmtId="0" fontId="7" fillId="0" borderId="15" xfId="0" applyNumberFormat="1" applyFont="1" applyFill="1" applyBorder="1"/>
    <x:xf numFmtId="0" fontId="9" fillId="0" borderId="46" xfId="0" applyNumberFormat="1" applyFont="1" applyFill="1" applyBorder="1"/>
    <x:xf numFmtId="0" fontId="7" fillId="0" borderId="46" xfId="0" applyNumberFormat="1" applyFont="1" applyFill="1" applyBorder="1"/>
    <x:xf numFmtId="0" fontId="0" fillId="0" borderId="46" xfId="0" applyNumberFormat="1" applyFont="1" applyFill="1" applyBorder="1"/>
    <x:xf numFmtId="0" fontId="9" fillId="0" borderId="12" xfId="0" applyNumberFormat="1" applyFont="1" applyFill="1" applyBorder="1" applyAlignment="1">
      <x:alignment vertical="center" wrapText="1"/>
    </x:xf>
    <x:xf numFmtId="0" fontId="9" fillId="0" borderId="13" xfId="0" applyNumberFormat="1" applyFont="1" applyFill="1" applyBorder="1" applyAlignment="1">
      <x:alignment vertical="center" wrapText="1"/>
    </x:xf>
    <x:xf numFmtId="0" fontId="9" fillId="0" borderId="14" xfId="0" applyNumberFormat="1" applyFont="1" applyFill="1" applyBorder="1" applyAlignment="1">
      <x:alignment vertical="center" wrapText="1"/>
    </x:xf>
    <x:xf numFmtId="0" fontId="9" fillId="0" borderId="15" xfId="0" applyNumberFormat="1" applyFont="1" applyFill="1" applyBorder="1" applyAlignment="1">
      <x:alignment vertical="center" wrapText="1"/>
    </x:xf>
    <x:xf numFmtId="0" fontId="0" fillId="9" borderId="13" xfId="0" applyNumberFormat="1" applyFont="1" applyFill="1" applyBorder="1" applyAlignment="1">
      <x:alignment vertical="center" wrapText="1"/>
    </x:xf>
    <x:xf numFmtId="0" fontId="0" fillId="9" borderId="15" xfId="0" applyNumberFormat="1" applyFont="1" applyFill="1" applyBorder="1" applyAlignment="1">
      <x:alignment vertical="center" wrapText="1"/>
    </x:xf>
    <x:xf numFmtId="0" fontId="7" fillId="0" borderId="12" xfId="0" applyNumberFormat="1" applyFont="1" applyFill="1" applyBorder="1" applyAlignment="1">
      <x:alignment vertical="center" wrapText="1"/>
    </x:xf>
    <x:xf numFmtId="0" fontId="7" fillId="0" borderId="13"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88885c2d5e54a18" /><Relationship Type="http://schemas.openxmlformats.org/officeDocument/2006/relationships/theme" Target="/xl/theme/theme1.xml" Id="R0d4e3861a73b42c7" /><Relationship Type="http://schemas.openxmlformats.org/officeDocument/2006/relationships/sharedStrings" Target="/xl/sharedStrings.xml" Id="R5135e85ad3264449" /><Relationship Type="http://schemas.openxmlformats.org/officeDocument/2006/relationships/worksheet" Target="/xl/worksheets/sheet1.xml" Id="Rc7793f14cd9940d9" /><Relationship Type="http://schemas.openxmlformats.org/officeDocument/2006/relationships/worksheet" Target="/xl/worksheets/sheet2.xml" Id="R80b04d67711248a1" /><Relationship Type="http://schemas.openxmlformats.org/officeDocument/2006/relationships/worksheet" Target="/xl/worksheets/sheet3.xml" Id="R873429fb5147448a" /><Relationship Type="http://schemas.openxmlformats.org/officeDocument/2006/relationships/worksheet" Target="/xl/worksheets/sheet4.xml" Id="R1ab325b1048a4e97" /><Relationship Type="http://schemas.openxmlformats.org/officeDocument/2006/relationships/worksheet" Target="/xl/worksheets/sheet5.xml" Id="R2c266fb8e6cc46dc" /><Relationship Type="http://schemas.openxmlformats.org/officeDocument/2006/relationships/worksheet" Target="/xl/worksheets/sheet6.xml" Id="Rb97d57b6cc8d4b39" /><Relationship Type="http://schemas.openxmlformats.org/officeDocument/2006/relationships/worksheet" Target="/xl/worksheets/sheet7.xml" Id="Rdab00a99f81c4a81" /><Relationship Type="http://schemas.openxmlformats.org/officeDocument/2006/relationships/worksheet" Target="/xl/worksheets/sheet8.xml" Id="R9bec401a7c9e4897" /></Relationships>
</file>

<file path=xl/drawings/_rels/drawing1.xml.rels>&#65279;<?xml version="1.0" encoding="utf-8"?><Relationships xmlns="http://schemas.openxmlformats.org/package/2006/relationships"><Relationship Type="http://schemas.openxmlformats.org/officeDocument/2006/relationships/chart" Target="/xl/drawings/charts/chart1.xml" Id="Rbbdc400275e1499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Khoảng cách tăng, giá trọ ngoài KTX có xu hướng giảm</a:t>
            </a:r>
          </a:p>
        </c:rich>
      </c:tx>
      <c:txPr>
        <a:bodyPr xmlns:a="http://schemas.openxmlformats.org/drawingml/2006/main" anchorCtr="1"/>
        <a:lstStyle xmlns:a="http://schemas.openxmlformats.org/drawingml/2006/main"/>
        <a:p xmlns:a="http://schemas.openxmlformats.org/drawingml/2006/main">
          <a:pPr>
            <a:defRPr sz="900"/>
          </a:pPr>
        </a:p>
      </c:txPr>
    </c:title>
    <c:plotArea>
      <c:scatterChart>
        <c:scatterStyle val="marker"/>
        <c:ser>
          <c:idx val="0"/>
          <c:order val="0"/>
          <c:tx>
            <c:v>Giá thực tế</c:v>
          </c:tx>
          <c:spPr>
            <a:solidFill xmlns:a="http://schemas.openxmlformats.org/drawingml/2006/main">
              <a:srgbClr val="5B9BD5"/>
            </a:solidFill>
          </c:spPr>
          <c:xVal>
            <c:numLit>
              <c:formatCode>General</c:formatCode>
              <c:ptCount val="0"/>
            </c:numLit>
          </c:xVal>
          <c:yVal>
            <c:numRef>
              <c:f>'MauHoiQuy'!$F$2:$F$128</c:f>
              <c:numCache>
                <c:formatCode>0.0</c:formatCode>
                <c:ptCount val="0"/>
              </c:numCache>
            </c:numRef>
          </c:yVal>
        </c:ser>
        <c:ser>
          <c:idx val="1"/>
          <c:order val="1"/>
          <c:tx>
            <c:v>Đường OLS</c:v>
          </c:tx>
          <c:spPr>
            <a:solidFill xmlns:a="http://schemas.openxmlformats.org/drawingml/2006/main">
              <a:srgbClr val="C00000"/>
            </a:solidFill>
          </c:spPr>
          <c:xVal>
            <c:numLit>
              <c:formatCode>General</c:formatCode>
              <c:ptCount val="0"/>
            </c:numLit>
          </c:xVal>
          <c:yVal>
            <c:numRef>
              <c:f>'MauHoiQuy'!$K$2:$K$128</c:f>
              <c:numCache>
                <c:formatCode>0.0</c:formatCode>
                <c:ptCount val="0"/>
              </c:numCache>
            </c:numRef>
          </c:yVal>
        </c:ser>
        <c:axId val="48650112"/>
        <c:axId val="48672768"/>
      </c:scatterChart>
      <c:valAx>
        <c:axId val="48672768"/>
        <c:scaling>
          <c:orientation val="minMax"/>
          <c:max val="4"/>
          <c:min val="0"/>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Giá thuê (triệu VNĐ/tháng)</a:t>
                </a:r>
              </a:p>
            </c:rich>
          </c:tx>
        </c:title>
        <c:numFmt formatCode="0.0"/>
        <c:majorTickMark val="none"/>
        <c:minorTickMark val="none"/>
        <c:crossAx val="48650112"/>
      </c:valAx>
      <c:valAx>
        <c:axId val="48650112"/>
        <c:scaling>
          <c:orientation val="minMax"/>
          <c:max val="10"/>
          <c:min val="0"/>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Khoảng cách (km)</a:t>
                </a:r>
              </a:p>
            </c:rich>
          </c:tx>
        </c:title>
        <c:numFmt formatCode="General"/>
        <c:majorTickMark val="none"/>
        <c:minorTickMark val="none"/>
        <c:tickLblPos val="nextTo"/>
        <c:crossAx val="48672768"/>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9</xdr:row>
      <xdr:rowOff>0</xdr:rowOff>
    </xdr:from>
    <xdr:to>
      <xdr:col>14</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bdc400275e1499e"/>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17dc08a3063e481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1" hidden="0" customWidth="1"/>
    <x:col min="3" max="3" width="13" hidden="0" customWidth="1"/>
    <x:col min="4" max="4" width="24" hidden="0" customWidth="1"/>
    <x:col min="5" max="5" width="15" hidden="0" customWidth="1"/>
    <x:col min="6" max="6" width="24" hidden="0" customWidth="1"/>
    <x:col min="7" max="7" width="16" hidden="0" customWidth="1"/>
    <x:col min="8" max="8" width="17" hidden="0" customWidth="1"/>
    <x:col min="9" max="9" width="11" hidden="0" customWidth="1"/>
    <x:col min="10" max="10" width="16" hidden="0" customWidth="1"/>
  </x:cols>
  <x:sheetData>
    <x:row r="1" ht="32" customHeight="1">
      <x:c r="A1" s="12" t="str">
        <x:v>Ho_Ten</x:v>
      </x:c>
      <x:c r="B1" s="12" t="str">
        <x:v>Gioi_Tinh</x:v>
      </x:c>
      <x:c r="C1" s="12" t="str">
        <x:v>Ma_SV</x:v>
      </x:c>
      <x:c r="D1" s="12" t="str">
        <x:v>Nganh</x:v>
      </x:c>
      <x:c r="E1" s="12" t="str">
        <x:v>Khu_Vuc</x:v>
      </x:c>
      <x:c r="F1" s="12" t="str">
        <x:v>Loai_Phong</x:v>
      </x:c>
      <x:c r="G1" s="12" t="str">
        <x:v>Khoang_Cach_km</x:v>
      </x:c>
      <x:c r="H1" s="12" t="str">
        <x:v>Gia_Thue_Trieu</x:v>
      </x:c>
      <x:c r="I1" s="12" t="str">
        <x:v>So_Nguoi</x:v>
      </x:c>
      <x:c r="J1" s="12" t="str">
        <x:v>Phuong_Tien</x:v>
      </x:c>
    </x:row>
    <x:row r="2">
      <x:c r="A2" s="14" t="str">
        <x:v>Nguyễn Văn An</x:v>
      </x:c>
      <x:c r="B2" s="14" t="str">
        <x:v>Nam</x:v>
      </x:c>
      <x:c r="C2" s="14" t="str">
        <x:v>HE185306</x:v>
      </x:c>
      <x:c r="D2" s="14" t="str">
        <x:v>Công nghệ thông tin</x:v>
      </x:c>
      <x:c r="E2" s="14" t="str">
        <x:v>Tân Xã</x:v>
      </x:c>
      <x:c r="F2" s="14" t="str">
        <x:v>Phòng trọ cơ bản</x:v>
      </x:c>
      <x:c r="G2" s="20" t="str">
        <x:v>3.1</x:v>
      </x:c>
      <x:c r="H2" s="20" t="str">
        <x:v>2.1</x:v>
      </x:c>
      <x:c r="I2" s="26" t="str">
        <x:v>2</x:v>
      </x:c>
      <x:c r="J2" s="14" t="str">
        <x:v>Xe máy</x:v>
      </x:c>
    </x:row>
    <x:row r="3">
      <x:c r="A3" s="15" t="str">
        <x:v>Trần Thị Bình</x:v>
      </x:c>
      <x:c r="B3" s="15" t="str">
        <x:v>Nữ</x:v>
      </x:c>
      <x:c r="C3" s="15" t="str">
        <x:v>HA192472</x:v>
      </x:c>
      <x:c r="D3" s="15" t="str">
        <x:v>Quản trị kinh doanh</x:v>
      </x:c>
      <x:c r="E3" s="15" t="str">
        <x:v>Thạch Hòa</x:v>
      </x:c>
      <x:c r="F3" s="15" t="str">
        <x:v>Phòng trọ cơ bản</x:v>
      </x:c>
      <x:c r="G3" s="21" t="str">
        <x:v>3.2</x:v>
      </x:c>
      <x:c r="H3" s="21" t="str">
        <x:v>2.1</x:v>
      </x:c>
      <x:c r="I3" s="27" t="str">
        <x:v>2</x:v>
      </x:c>
      <x:c r="J3" s="15" t="str">
        <x:v>Xe máy</x:v>
      </x:c>
    </x:row>
    <x:row r="4">
      <x:c r="A4" s="15" t="str">
        <x:v>Lê Hoàng Cường</x:v>
      </x:c>
      <x:c r="B4" s="15" t="str">
        <x:v>Nam</x:v>
      </x:c>
      <x:c r="C4" s="15" t="str">
        <x:v>HS196469</x:v>
      </x:c>
      <x:c r="D4" s="15" t="str">
        <x:v>An toàn thông tin</x:v>
      </x:c>
      <x:c r="E4" s="15" t="str">
        <x:v>Tân Xã</x:v>
      </x:c>
      <x:c r="F4" s="15" t="str">
        <x:v>Phòng trọ cơ bản</x:v>
      </x:c>
      <x:c r="G4" s="21" t="str">
        <x:v>1.9</x:v>
      </x:c>
      <x:c r="H4" s="21" t="str">
        <x:v>2.1</x:v>
      </x:c>
      <x:c r="I4" s="27" t="str">
        <x:v>2</x:v>
      </x:c>
      <x:c r="J4" s="15" t="str">
        <x:v>Đi bộ</x:v>
      </x:c>
    </x:row>
    <x:row r="5">
      <x:c r="A5" s="15" t="str">
        <x:v>Phạm Thị Dung</x:v>
      </x:c>
      <x:c r="B5" s="15" t="str">
        <x:v>Nữ</x:v>
      </x:c>
      <x:c r="C5" s="15" t="str">
        <x:v>HE180792</x:v>
      </x:c>
      <x:c r="D5" s="15" t="str">
        <x:v>Công nghệ thông tin</x:v>
      </x:c>
      <x:c r="E5" s="15" t="str">
        <x:v>Dom A</x:v>
      </x:c>
      <x:c r="F5" s="15" t="str">
        <x:v>Ký túc xá</x:v>
      </x:c>
      <x:c r="G5" s="21" t="str">
        <x:v>0.2</x:v>
      </x:c>
      <x:c r="H5" s="21" t="str">
        <x:v>1.1</x:v>
      </x:c>
      <x:c r="I5" s="27" t="str">
        <x:v>4</x:v>
      </x:c>
      <x:c r="J5" s="15" t="str">
        <x:v>Đi bộ</x:v>
      </x:c>
    </x:row>
    <x:row r="6">
      <x:c r="A6" s="15" t="str">
        <x:v>Hoàng Văn Thắng</x:v>
      </x:c>
      <x:c r="B6" s="15" t="str">
        <x:v>Nam</x:v>
      </x:c>
      <x:c r="C6" s="15" t="str">
        <x:v>HC181187</x:v>
      </x:c>
      <x:c r="D6" s="15" t="str">
        <x:v>Thiết kế mỹ thuật số</x:v>
      </x:c>
      <x:c r="E6" s="15" t="str">
        <x:v>Hòa Lạc</x:v>
      </x:c>
      <x:c r="F6" s="15" t="str">
        <x:v>Phòng khép kín</x:v>
      </x:c>
      <x:c r="G6" s="21" t="str">
        <x:v>5.0</x:v>
      </x:c>
      <x:c r="H6" s="21" t="str">
        <x:v>1.9</x:v>
      </x:c>
      <x:c r="I6" s="27" t="str">
        <x:v>1</x:v>
      </x:c>
      <x:c r="J6" s="15" t="str">
        <x:v>Xe buýt</x:v>
      </x:c>
    </x:row>
    <x:row r="7">
      <x:c r="A7" s="15" t="str">
        <x:v>Vũ Thị Phương</x:v>
      </x:c>
      <x:c r="B7" s="15" t="str">
        <x:v>Nữ</x:v>
      </x:c>
      <x:c r="C7" s="15" t="str">
        <x:v>HE188780</x:v>
      </x:c>
      <x:c r="D7" s="15" t="str">
        <x:v>Công nghệ thông tin</x:v>
      </x:c>
      <x:c r="E7" s="15" t="str">
        <x:v>Tân Xã</x:v>
      </x:c>
      <x:c r="F7" s="15" t="str">
        <x:v>Phòng trọ cơ bản</x:v>
      </x:c>
      <x:c r="G7" s="21" t="str">
        <x:v>2.5</x:v>
      </x:c>
      <x:c r="H7" s="21" t="str">
        <x:v>2.3</x:v>
      </x:c>
      <x:c r="I7" s="27" t="str">
        <x:v>1</x:v>
      </x:c>
      <x:c r="J7" s="15" t="str">
        <x:v>Xe máy</x:v>
      </x:c>
    </x:row>
    <x:row r="8">
      <x:c r="A8" s="15" t="str">
        <x:v>Đoàn Văn Giang</x:v>
      </x:c>
      <x:c r="B8" s="15" t="str">
        <x:v>Nam</x:v>
      </x:c>
      <x:c r="C8" s="15" t="str">
        <x:v>HS191543</x:v>
      </x:c>
      <x:c r="D8" s="15" t="str">
        <x:v>An toàn thông tin</x:v>
      </x:c>
      <x:c r="E8" s="15" t="str">
        <x:v>Thạch Hòa</x:v>
      </x:c>
      <x:c r="F8" s="15" t="str">
        <x:v>Phòng trọ cơ bản</x:v>
      </x:c>
      <x:c r="G8" s="21" t="str">
        <x:v>4.5</x:v>
      </x:c>
      <x:c r="H8" s="21" t="str">
        <x:v>1.9</x:v>
      </x:c>
      <x:c r="I8" s="27" t="str">
        <x:v>1</x:v>
      </x:c>
      <x:c r="J8" s="15" t="str">
        <x:v>Xe máy</x:v>
      </x:c>
    </x:row>
    <x:row r="9">
      <x:c r="A9" s="15" t="str">
        <x:v>Bùi Thị Hoa</x:v>
      </x:c>
      <x:c r="B9" s="15" t="str">
        <x:v>Nữ</x:v>
      </x:c>
      <x:c r="C9" s="15" t="str">
        <x:v>HE195992</x:v>
      </x:c>
      <x:c r="D9" s="15" t="str">
        <x:v>Công nghệ thông tin</x:v>
      </x:c>
      <x:c r="E9" s="15" t="str">
        <x:v>Hòa Lạc</x:v>
      </x:c>
      <x:c r="F9" s="15" t="str">
        <x:v>Phòng khép kín</x:v>
      </x:c>
      <x:c r="G9" s="21" t="str">
        <x:v>6.2</x:v>
      </x:c>
      <x:c r="H9" s="21" t="str">
        <x:v>1.8</x:v>
      </x:c>
      <x:c r="I9" s="27" t="str">
        <x:v>2</x:v>
      </x:c>
      <x:c r="J9" s="15" t="str">
        <x:v>Xe buýt</x:v>
      </x:c>
    </x:row>
    <x:row r="10">
      <x:c r="A10" s="15" t="str">
        <x:v>Nguyễn Hải Đăng</x:v>
      </x:c>
      <x:c r="B10" s="15" t="str">
        <x:v>Nam</x:v>
      </x:c>
      <x:c r="C10" s="15" t="str">
        <x:v>HC199549</x:v>
      </x:c>
      <x:c r="D10" s="15" t="str">
        <x:v>Thiết kế mỹ thuật số</x:v>
      </x:c>
      <x:c r="E10" s="15" t="str">
        <x:v>Tân Xã</x:v>
      </x:c>
      <x:c r="F10" s="15" t="str">
        <x:v>Phòng trọ cơ bản</x:v>
      </x:c>
      <x:c r="G10" s="21" t="str">
        <x:v>3.7</x:v>
      </x:c>
      <x:c r="H10" s="21" t="str">
        <x:v>2.1</x:v>
      </x:c>
      <x:c r="I10" s="27" t="str">
        <x:v>1</x:v>
      </x:c>
      <x:c r="J10" s="15" t="str">
        <x:v>Xe máy</x:v>
      </x:c>
    </x:row>
    <x:row r="11">
      <x:c r="A11" s="15" t="str">
        <x:v>Lê Khắc Khánh</x:v>
      </x:c>
      <x:c r="B11" s="15" t="str">
        <x:v>Nam</x:v>
      </x:c>
      <x:c r="C11" s="15" t="str">
        <x:v>HC200951</x:v>
      </x:c>
      <x:c r="D11" s="15" t="str">
        <x:v>Thiết kế mỹ thuật số</x:v>
      </x:c>
      <x:c r="E11" s="15" t="str">
        <x:v>Dom B</x:v>
      </x:c>
      <x:c r="F11" s="15" t="str">
        <x:v>Ký túc xá</x:v>
      </x:c>
      <x:c r="G11" s="21" t="str">
        <x:v>0.3</x:v>
      </x:c>
      <x:c r="H11" s="21" t="str">
        <x:v>1.1</x:v>
      </x:c>
      <x:c r="I11" s="27" t="str">
        <x:v>4</x:v>
      </x:c>
      <x:c r="J11" s="15" t="str">
        <x:v>Đi bộ</x:v>
      </x:c>
    </x:row>
    <x:row r="12">
      <x:c r="A12" s="15" t="str">
        <x:v>Phan Thị Lan</x:v>
      </x:c>
      <x:c r="B12" s="15" t="str">
        <x:v>Nữ</x:v>
      </x:c>
      <x:c r="C12" s="15" t="str">
        <x:v>HE198314</x:v>
      </x:c>
      <x:c r="D12" s="15" t="str">
        <x:v>Công nghệ thông tin</x:v>
      </x:c>
      <x:c r="E12" s="15" t="str">
        <x:v>Thạch Hòa</x:v>
      </x:c>
      <x:c r="F12" s="15" t="str">
        <x:v>Phòng trọ cơ bản</x:v>
      </x:c>
      <x:c r="G12" s="21" t="str">
        <x:v>3.5</x:v>
      </x:c>
      <x:c r="H12" s="21" t="str">
        <x:v>2.1</x:v>
      </x:c>
      <x:c r="I12" s="27" t="str">
        <x:v>1</x:v>
      </x:c>
      <x:c r="J12" s="15" t="str">
        <x:v>Xe máy</x:v>
      </x:c>
    </x:row>
    <x:row r="13">
      <x:c r="A13" s="15" t="str">
        <x:v>Trần Mạnh</x:v>
      </x:c>
      <x:c r="B13" s="15" t="str">
        <x:v>Nam</x:v>
      </x:c>
      <x:c r="C13" s="15" t="str">
        <x:v>HC203518</x:v>
      </x:c>
      <x:c r="D13" s="15" t="str">
        <x:v>Thiết kế mỹ thuật số</x:v>
      </x:c>
      <x:c r="E13" s="15" t="str">
        <x:v>Hòa Lạc</x:v>
      </x:c>
      <x:c r="F13" s="15" t="str">
        <x:v>Phòng khép kín</x:v>
      </x:c>
      <x:c r="G13" s="21" t="str">
        <x:v>7.0</x:v>
      </x:c>
      <x:c r="H13" s="21" t="str">
        <x:v>1.5</x:v>
      </x:c>
      <x:c r="I13" s="27" t="str">
        <x:v>2</x:v>
      </x:c>
      <x:c r="J13" s="15" t="str">
        <x:v>Xe buýt</x:v>
      </x:c>
    </x:row>
    <x:row r="14">
      <x:c r="A14" s="15" t="str">
        <x:v>Nguyễn Thị Ngân</x:v>
      </x:c>
      <x:c r="B14" s="15" t="str">
        <x:v>Nữ</x:v>
      </x:c>
      <x:c r="C14" s="15" t="str">
        <x:v>HA190615</x:v>
      </x:c>
      <x:c r="D14" s="15" t="str">
        <x:v>Quản trị kinh doanh</x:v>
      </x:c>
      <x:c r="E14" s="15" t="str">
        <x:v>Tân Xã</x:v>
      </x:c>
      <x:c r="F14" s="15" t="str">
        <x:v>Phòng trọ cơ bản</x:v>
      </x:c>
      <x:c r="G14" s="21" t="str">
        <x:v>2.7</x:v>
      </x:c>
      <x:c r="H14" s="21" t="str">
        <x:v>2.4</x:v>
      </x:c>
      <x:c r="I14" s="27" t="str">
        <x:v>1</x:v>
      </x:c>
      <x:c r="J14" s="15" t="str">
        <x:v>Xe máy</x:v>
      </x:c>
    </x:row>
    <x:row r="15">
      <x:c r="A15" s="15" t="str">
        <x:v>Lê Văn Oanh</x:v>
      </x:c>
      <x:c r="B15" s="15" t="str">
        <x:v>Nam</x:v>
      </x:c>
      <x:c r="C15" s="15" t="str">
        <x:v>HS201409</x:v>
      </x:c>
      <x:c r="D15" s="15" t="str">
        <x:v>An toàn thông tin</x:v>
      </x:c>
      <x:c r="E15" s="15" t="str">
        <x:v>Dom C</x:v>
      </x:c>
      <x:c r="F15" s="15" t="str">
        <x:v>Ký túc xá</x:v>
      </x:c>
      <x:c r="G15" s="21" t="str">
        <x:v>0.4</x:v>
      </x:c>
      <x:c r="H15" s="21" t="str">
        <x:v>1.1</x:v>
      </x:c>
      <x:c r="I15" s="27" t="str">
        <x:v>4</x:v>
      </x:c>
      <x:c r="J15" s="15" t="str">
        <x:v>Đi bộ</x:v>
      </x:c>
    </x:row>
    <x:row r="16">
      <x:c r="A16" s="15" t="str">
        <x:v>Phùng Thị Cúc</x:v>
      </x:c>
      <x:c r="B16" s="15" t="str">
        <x:v>Nữ</x:v>
      </x:c>
      <x:c r="C16" s="15" t="str">
        <x:v>HE187105</x:v>
      </x:c>
      <x:c r="D16" s="15" t="str">
        <x:v>Công nghệ thông tin</x:v>
      </x:c>
      <x:c r="E16" s="15" t="str">
        <x:v>Thạch Hòa</x:v>
      </x:c>
      <x:c r="F16" s="15" t="str">
        <x:v>Chung cư mini</x:v>
      </x:c>
      <x:c r="G16" s="21" t="str">
        <x:v>4.0</x:v>
      </x:c>
      <x:c r="H16" s="21" t="str">
        <x:v>2.6</x:v>
      </x:c>
      <x:c r="I16" s="27" t="str">
        <x:v>2</x:v>
      </x:c>
      <x:c r="J16" s="15" t="str">
        <x:v>Xe máy</x:v>
      </x:c>
    </x:row>
    <x:row r="17">
      <x:c r="A17" s="15" t="str">
        <x:v>Đoàn Quân</x:v>
      </x:c>
      <x:c r="B17" s="15" t="str">
        <x:v>Nam</x:v>
      </x:c>
      <x:c r="C17" s="15" t="str">
        <x:v>HC186852</x:v>
      </x:c>
      <x:c r="D17" s="15" t="str">
        <x:v>Thiết kế mỹ thuật số</x:v>
      </x:c>
      <x:c r="E17" s="15" t="str">
        <x:v>Hòa Lạc</x:v>
      </x:c>
      <x:c r="F17" s="15" t="str">
        <x:v>Phòng khép kín</x:v>
      </x:c>
      <x:c r="G17" s="21" t="str">
        <x:v>5.5</x:v>
      </x:c>
      <x:c r="H17" s="21" t="str">
        <x:v>1.8</x:v>
      </x:c>
      <x:c r="I17" s="27" t="str">
        <x:v>1</x:v>
      </x:c>
      <x:c r="J17" s="15" t="str">
        <x:v>Xe buýt</x:v>
      </x:c>
    </x:row>
    <x:row r="18">
      <x:c r="A18" s="15" t="str">
        <x:v>Nguyễn Văn Trung</x:v>
      </x:c>
      <x:c r="B18" s="15" t="str">
        <x:v>Nam</x:v>
      </x:c>
      <x:c r="C18" s="15" t="str">
        <x:v>HA201145</x:v>
      </x:c>
      <x:c r="D18" s="15" t="str">
        <x:v>Quản trị kinh doanh</x:v>
      </x:c>
      <x:c r="E18" s="15" t="str">
        <x:v>Tân Xã</x:v>
      </x:c>
      <x:c r="F18" s="15" t="str">
        <x:v>Phòng trọ cơ bản</x:v>
      </x:c>
      <x:c r="G18" s="21" t="str">
        <x:v>3.5</x:v>
      </x:c>
      <x:c r="H18" s="21" t="str">
        <x:v>2.2</x:v>
      </x:c>
      <x:c r="I18" s="27" t="str">
        <x:v>1</x:v>
      </x:c>
      <x:c r="J18" s="15" t="str">
        <x:v>Xe máy</x:v>
      </x:c>
    </x:row>
    <x:row r="19">
      <x:c r="A19" s="15" t="str">
        <x:v>Trần Thị Sen</x:v>
      </x:c>
      <x:c r="B19" s="15" t="str">
        <x:v>Nữ</x:v>
      </x:c>
      <x:c r="C19" s="15" t="str">
        <x:v>HA183944</x:v>
      </x:c>
      <x:c r="D19" s="15" t="str">
        <x:v>Quản trị kinh doanh</x:v>
      </x:c>
      <x:c r="E19" s="15" t="str">
        <x:v>Dom D</x:v>
      </x:c>
      <x:c r="F19" s="15" t="str">
        <x:v>Ký túc xá</x:v>
      </x:c>
      <x:c r="G19" s="21" t="str">
        <x:v>0.5</x:v>
      </x:c>
      <x:c r="H19" s="21" t="str">
        <x:v>1.1</x:v>
      </x:c>
      <x:c r="I19" s="27" t="str">
        <x:v>4</x:v>
      </x:c>
      <x:c r="J19" s="15" t="str">
        <x:v>Đi bộ</x:v>
      </x:c>
    </x:row>
    <x:row r="20">
      <x:c r="A20" s="15" t="str">
        <x:v>Lê Văn Toàn</x:v>
      </x:c>
      <x:c r="B20" s="15" t="str">
        <x:v>Nam</x:v>
      </x:c>
      <x:c r="C20" s="15" t="str">
        <x:v>HC181487</x:v>
      </x:c>
      <x:c r="D20" s="15" t="str">
        <x:v>Thiết kế mỹ thuật số</x:v>
      </x:c>
      <x:c r="E20" s="15" t="str">
        <x:v>Thạch Hòa</x:v>
      </x:c>
      <x:c r="F20" s="15" t="str">
        <x:v>Phòng trọ cơ bản</x:v>
      </x:c>
      <x:c r="G20" s="21" t="str">
        <x:v>2.8</x:v>
      </x:c>
      <x:c r="H20" s="21" t="str">
        <x:v>2.0</x:v>
      </x:c>
      <x:c r="I20" s="27" t="str">
        <x:v>1</x:v>
      </x:c>
      <x:c r="J20" s="15" t="str">
        <x:v>Xe máy</x:v>
      </x:c>
    </x:row>
    <x:row r="21">
      <x:c r="A21" s="15" t="str">
        <x:v>Phạm Thị Uyên</x:v>
      </x:c>
      <x:c r="B21" s="15" t="str">
        <x:v>Nữ</x:v>
      </x:c>
      <x:c r="C21" s="15" t="str">
        <x:v>HC189029</x:v>
      </x:c>
      <x:c r="D21" s="15" t="str">
        <x:v>Thiết kế mỹ thuật số</x:v>
      </x:c>
      <x:c r="E21" s="15" t="str">
        <x:v>Hòa Lạc</x:v>
      </x:c>
      <x:c r="F21" s="15" t="str">
        <x:v>Phòng khép kín</x:v>
      </x:c>
      <x:c r="G21" s="21" t="str">
        <x:v>8.0</x:v>
      </x:c>
      <x:c r="H21" s="21" t="str">
        <x:v>1.4</x:v>
      </x:c>
      <x:c r="I21" s="27" t="str">
        <x:v>1</x:v>
      </x:c>
      <x:c r="J21" s="15" t="str">
        <x:v>Xe buýt</x:v>
      </x:c>
    </x:row>
    <x:row r="22">
      <x:c r="A22" s="15" t="str">
        <x:v>Vũ Văn Vàng</x:v>
      </x:c>
      <x:c r="B22" s="15" t="str">
        <x:v>Nam</x:v>
      </x:c>
      <x:c r="C22" s="15" t="str">
        <x:v>HA206956</x:v>
      </x:c>
      <x:c r="D22" s="15" t="str">
        <x:v>Quản trị kinh doanh</x:v>
      </x:c>
      <x:c r="E22" s="15" t="str">
        <x:v>Tân Xã</x:v>
      </x:c>
      <x:c r="F22" s="15" t="str">
        <x:v>Phòng trọ cơ bản</x:v>
      </x:c>
      <x:c r="G22" s="21" t="str">
        <x:v>4.3</x:v>
      </x:c>
      <x:c r="H22" s="21" t="str">
        <x:v>1.9</x:v>
      </x:c>
      <x:c r="I22" s="27" t="str">
        <x:v>2</x:v>
      </x:c>
      <x:c r="J22" s="15" t="str">
        <x:v>Xe máy</x:v>
      </x:c>
    </x:row>
    <x:row r="23">
      <x:c r="A23" s="15" t="str">
        <x:v>Hoàng Thị Xuân</x:v>
      </x:c>
      <x:c r="B23" s="15" t="str">
        <x:v>Nữ</x:v>
      </x:c>
      <x:c r="C23" s="15" t="str">
        <x:v>HS180969</x:v>
      </x:c>
      <x:c r="D23" s="15" t="str">
        <x:v>An toàn thông tin</x:v>
      </x:c>
      <x:c r="E23" s="15" t="str">
        <x:v>Thạch Hòa</x:v>
      </x:c>
      <x:c r="F23" s="15" t="str">
        <x:v>Chung cư mini</x:v>
      </x:c>
      <x:c r="G23" s="21" t="str">
        <x:v>3.0</x:v>
      </x:c>
      <x:c r="H23" s="21" t="str">
        <x:v>3.1</x:v>
      </x:c>
      <x:c r="I23" s="27" t="str">
        <x:v>2</x:v>
      </x:c>
      <x:c r="J23" s="15" t="str">
        <x:v>Xe máy</x:v>
      </x:c>
    </x:row>
    <x:row r="24">
      <x:c r="A24" s="15" t="str">
        <x:v>Bùi Văn Yến</x:v>
      </x:c>
      <x:c r="B24" s="15" t="str">
        <x:v>Nam</x:v>
      </x:c>
      <x:c r="C24" s="15" t="str">
        <x:v>HE199265</x:v>
      </x:c>
      <x:c r="D24" s="15" t="str">
        <x:v>Công nghệ thông tin</x:v>
      </x:c>
      <x:c r="E24" s="15" t="str">
        <x:v>Hòa Lạc</x:v>
      </x:c>
      <x:c r="F24" s="15" t="str">
        <x:v>Phòng khép kín</x:v>
      </x:c>
      <x:c r="G24" s="21" t="str">
        <x:v>6.5</x:v>
      </x:c>
      <x:c r="H24" s="21" t="str">
        <x:v>1.7</x:v>
      </x:c>
      <x:c r="I24" s="27" t="str">
        <x:v>2</x:v>
      </x:c>
      <x:c r="J24" s="15" t="str">
        <x:v>Xe buýt</x:v>
      </x:c>
    </x:row>
    <x:row r="25">
      <x:c r="A25" s="15" t="str">
        <x:v>Nguyễn Xuân Anh</x:v>
      </x:c>
      <x:c r="B25" s="15" t="str">
        <x:v>Nữ</x:v>
      </x:c>
      <x:c r="C25" s="15" t="str">
        <x:v>HA182029</x:v>
      </x:c>
      <x:c r="D25" s="15" t="str">
        <x:v>Quản trị kinh doanh</x:v>
      </x:c>
      <x:c r="E25" s="15" t="str">
        <x:v>Dom A</x:v>
      </x:c>
      <x:c r="F25" s="15" t="str">
        <x:v>Ký túc xá</x:v>
      </x:c>
      <x:c r="G25" s="21" t="str">
        <x:v>0.2</x:v>
      </x:c>
      <x:c r="H25" s="21" t="str">
        <x:v>1.1</x:v>
      </x:c>
      <x:c r="I25" s="27" t="str">
        <x:v>4</x:v>
      </x:c>
      <x:c r="J25" s="15" t="str">
        <x:v>Đi bộ</x:v>
      </x:c>
    </x:row>
    <x:row r="26">
      <x:c r="A26" s="15" t="str">
        <x:v>Lê Thị Bé</x:v>
      </x:c>
      <x:c r="B26" s="15" t="str">
        <x:v>Nữ</x:v>
      </x:c>
      <x:c r="C26" s="15" t="str">
        <x:v>HS183658</x:v>
      </x:c>
      <x:c r="D26" s="15" t="str">
        <x:v>An toàn thông tin</x:v>
      </x:c>
      <x:c r="E26" s="15" t="str">
        <x:v>Tân Xã</x:v>
      </x:c>
      <x:c r="F26" s="15" t="str">
        <x:v>Chung cư mini/Studio</x:v>
      </x:c>
      <x:c r="G26" s="21" t="str">
        <x:v>3.1</x:v>
      </x:c>
      <x:c r="H26" s="21" t="str">
        <x:v>2.8</x:v>
      </x:c>
      <x:c r="I26" s="27" t="str">
        <x:v>2</x:v>
      </x:c>
      <x:c r="J26" s="15" t="str">
        <x:v>Xe máy</x:v>
      </x:c>
    </x:row>
    <x:row r="27">
      <x:c r="A27" s="15" t="str">
        <x:v>Trần Văn Chính</x:v>
      </x:c>
      <x:c r="B27" s="15" t="str">
        <x:v>Nam</x:v>
      </x:c>
      <x:c r="C27" s="15" t="str">
        <x:v>HC209552</x:v>
      </x:c>
      <x:c r="D27" s="15" t="str">
        <x:v>Thiết kế mỹ thuật số</x:v>
      </x:c>
      <x:c r="E27" s="15" t="str">
        <x:v>Thạch Hòa</x:v>
      </x:c>
      <x:c r="F27" s="15" t="str">
        <x:v>Phòng trọ cơ bản</x:v>
      </x:c>
      <x:c r="G27" s="21" t="str">
        <x:v>4.2</x:v>
      </x:c>
      <x:c r="H27" s="21" t="str">
        <x:v>1.8</x:v>
      </x:c>
      <x:c r="I27" s="27" t="str">
        <x:v>1</x:v>
      </x:c>
      <x:c r="J27" s="15" t="str">
        <x:v>Xe máy</x:v>
      </x:c>
    </x:row>
    <x:row r="28">
      <x:c r="A28" s="15" t="str">
        <x:v>Phạm Thị Đoan</x:v>
      </x:c>
      <x:c r="B28" s="15" t="str">
        <x:v>Nữ</x:v>
      </x:c>
      <x:c r="C28" s="15" t="str">
        <x:v>HC201014</x:v>
      </x:c>
      <x:c r="D28" s="15" t="str">
        <x:v>Thiết kế mỹ thuật số</x:v>
      </x:c>
      <x:c r="E28" s="15" t="str">
        <x:v>Hòa Lạc</x:v>
      </x:c>
      <x:c r="F28" s="15" t="str">
        <x:v>Phòng khép kín</x:v>
      </x:c>
      <x:c r="G28" s="21" t="str">
        <x:v>5.2</x:v>
      </x:c>
      <x:c r="H28" s="21" t="str">
        <x:v>1.9</x:v>
      </x:c>
      <x:c r="I28" s="27" t="str">
        <x:v>2</x:v>
      </x:c>
      <x:c r="J28" s="15" t="str">
        <x:v>Xe buýt</x:v>
      </x:c>
    </x:row>
    <x:row r="29">
      <x:c r="A29" s="15" t="str">
        <x:v>Vũ Văn Đạt</x:v>
      </x:c>
      <x:c r="B29" s="15" t="str">
        <x:v>Nam</x:v>
      </x:c>
      <x:c r="C29" s="15" t="str">
        <x:v>HS209456</x:v>
      </x:c>
      <x:c r="D29" s="15" t="str">
        <x:v>An toàn thông tin</x:v>
      </x:c>
      <x:c r="E29" s="15" t="str">
        <x:v>Tân Xã</x:v>
      </x:c>
      <x:c r="F29" s="15" t="str">
        <x:v>Phòng trọ cơ bản</x:v>
      </x:c>
      <x:c r="G29" s="21" t="str">
        <x:v>2.3</x:v>
      </x:c>
      <x:c r="H29" s="21" t="str">
        <x:v>2.3</x:v>
      </x:c>
      <x:c r="I29" s="27" t="str">
        <x:v>2</x:v>
      </x:c>
      <x:c r="J29" s="15" t="str">
        <x:v>Xe máy</x:v>
      </x:c>
    </x:row>
    <x:row r="30">
      <x:c r="A30" s="15" t="str">
        <x:v>Hoàng Thị Gấm</x:v>
      </x:c>
      <x:c r="B30" s="15" t="str">
        <x:v>Nữ</x:v>
      </x:c>
      <x:c r="C30" s="15" t="str">
        <x:v>HA199594</x:v>
      </x:c>
      <x:c r="D30" s="15" t="str">
        <x:v>Quản trị kinh doanh</x:v>
      </x:c>
      <x:c r="E30" s="15" t="str">
        <x:v>Dom B</x:v>
      </x:c>
      <x:c r="F30" s="15" t="str">
        <x:v>Ký túc xá</x:v>
      </x:c>
      <x:c r="G30" s="21" t="str">
        <x:v>0.3</x:v>
      </x:c>
      <x:c r="H30" s="21" t="str">
        <x:v>1.1</x:v>
      </x:c>
      <x:c r="I30" s="27" t="str">
        <x:v>4</x:v>
      </x:c>
      <x:c r="J30" s="15" t="str">
        <x:v>Đi bộ</x:v>
      </x:c>
    </x:row>
    <x:row r="31">
      <x:c r="A31" s="15" t="str">
        <x:v>Bùi Văn Hùng</x:v>
      </x:c>
      <x:c r="B31" s="15" t="str">
        <x:v>Nam</x:v>
      </x:c>
      <x:c r="C31" s="15" t="str">
        <x:v>HA186500</x:v>
      </x:c>
      <x:c r="D31" s="15" t="str">
        <x:v>Quản trị kinh doanh</x:v>
      </x:c>
      <x:c r="E31" s="15" t="str">
        <x:v>Thạch Hòa</x:v>
      </x:c>
      <x:c r="F31" s="15" t="str">
        <x:v>Chung cư mini</x:v>
      </x:c>
      <x:c r="G31" s="21" t="str">
        <x:v>3.8</x:v>
      </x:c>
      <x:c r="H31" s="21" t="str">
        <x:v>2.9</x:v>
      </x:c>
      <x:c r="I31" s="27" t="str">
        <x:v>2</x:v>
      </x:c>
      <x:c r="J31" s="15" t="str">
        <x:v>Xe máy</x:v>
      </x:c>
    </x:row>
    <x:row r="32">
      <x:c r="A32" s="15" t="str">
        <x:v>Nguyễn Thị Linh</x:v>
      </x:c>
      <x:c r="B32" s="15" t="str">
        <x:v>Nữ</x:v>
      </x:c>
      <x:c r="C32" s="15" t="str">
        <x:v>HS190813</x:v>
      </x:c>
      <x:c r="D32" s="15" t="str">
        <x:v>An toàn thông tin</x:v>
      </x:c>
      <x:c r="E32" s="15" t="str">
        <x:v>Hòa Lạc</x:v>
      </x:c>
      <x:c r="F32" s="15" t="str">
        <x:v>Phòng khép kín</x:v>
      </x:c>
      <x:c r="G32" s="21" t="str">
        <x:v>7.5</x:v>
      </x:c>
      <x:c r="H32" s="21" t="str">
        <x:v>1.5</x:v>
      </x:c>
      <x:c r="I32" s="27" t="str">
        <x:v>2</x:v>
      </x:c>
      <x:c r="J32" s="15" t="str">
        <x:v>Xe buýt</x:v>
      </x:c>
    </x:row>
    <x:row r="33">
      <x:c r="A33" s="15" t="str">
        <x:v>Lê Văn Kiên</x:v>
      </x:c>
      <x:c r="B33" s="15" t="str">
        <x:v>Nam</x:v>
      </x:c>
      <x:c r="C33" s="15" t="str">
        <x:v>HS213623</x:v>
      </x:c>
      <x:c r="D33" s="15" t="str">
        <x:v>An toàn thông tin</x:v>
      </x:c>
      <x:c r="E33" s="15" t="str">
        <x:v>Tân Xã</x:v>
      </x:c>
      <x:c r="F33" s="15" t="str">
        <x:v>Phòng trọ cơ bản</x:v>
      </x:c>
      <x:c r="G33" s="21" t="str">
        <x:v>3.9</x:v>
      </x:c>
      <x:c r="H33" s="21" t="str">
        <x:v>2.0</x:v>
      </x:c>
      <x:c r="I33" s="27" t="str">
        <x:v>1</x:v>
      </x:c>
      <x:c r="J33" s="15" t="str">
        <x:v>Xe máy</x:v>
      </x:c>
    </x:row>
    <x:row r="34">
      <x:c r="A34" s="15" t="str">
        <x:v>Phan Thị Liễu</x:v>
      </x:c>
      <x:c r="B34" s="15" t="str">
        <x:v>Nữ</x:v>
      </x:c>
      <x:c r="C34" s="15" t="str">
        <x:v>HC200764</x:v>
      </x:c>
      <x:c r="D34" s="15" t="str">
        <x:v>Thiết kế mỹ thuật số</x:v>
      </x:c>
      <x:c r="E34" s="15" t="str">
        <x:v>Dom C</x:v>
      </x:c>
      <x:c r="F34" s="15" t="str">
        <x:v>Ký túc xá</x:v>
      </x:c>
      <x:c r="G34" s="21" t="str">
        <x:v>0.4</x:v>
      </x:c>
      <x:c r="H34" s="21" t="str">
        <x:v>1.1</x:v>
      </x:c>
      <x:c r="I34" s="27" t="str">
        <x:v>4</x:v>
      </x:c>
      <x:c r="J34" s="15" t="str">
        <x:v>Đi bộ</x:v>
      </x:c>
    </x:row>
    <x:row r="35">
      <x:c r="A35" s="15" t="str">
        <x:v>Trần Văn Minh</x:v>
      </x:c>
      <x:c r="B35" s="15" t="str">
        <x:v>Nam</x:v>
      </x:c>
      <x:c r="C35" s="15" t="str">
        <x:v>HS209121</x:v>
      </x:c>
      <x:c r="D35" s="15" t="str">
        <x:v>An toàn thông tin</x:v>
      </x:c>
      <x:c r="E35" s="15" t="str">
        <x:v>Thạch Hòa</x:v>
      </x:c>
      <x:c r="F35" s="15" t="str">
        <x:v>Chung cư mini</x:v>
      </x:c>
      <x:c r="G35" s="21" t="str">
        <x:v>2.5</x:v>
      </x:c>
      <x:c r="H35" s="21" t="str">
        <x:v>3.1</x:v>
      </x:c>
      <x:c r="I35" s="27" t="str">
        <x:v>2</x:v>
      </x:c>
      <x:c r="J35" s="15" t="str">
        <x:v>Xe máy</x:v>
      </x:c>
    </x:row>
    <x:row r="36">
      <x:c r="A36" s="15" t="str">
        <x:v>Nguyễn Thị Như</x:v>
      </x:c>
      <x:c r="B36" s="15" t="str">
        <x:v>Nữ</x:v>
      </x:c>
      <x:c r="C36" s="15" t="str">
        <x:v>HE192182</x:v>
      </x:c>
      <x:c r="D36" s="15" t="str">
        <x:v>Công nghệ thông tin</x:v>
      </x:c>
      <x:c r="E36" s="15" t="str">
        <x:v>Hòa Lạc</x:v>
      </x:c>
      <x:c r="F36" s="15" t="str">
        <x:v>Phòng khép kín</x:v>
      </x:c>
      <x:c r="G36" s="21" t="str">
        <x:v>6.0</x:v>
      </x:c>
      <x:c r="H36" s="21" t="str">
        <x:v>1.9</x:v>
      </x:c>
      <x:c r="I36" s="27" t="str">
        <x:v>1</x:v>
      </x:c>
      <x:c r="J36" s="15" t="str">
        <x:v>Xe buýt</x:v>
      </x:c>
    </x:row>
    <x:row r="37">
      <x:c r="A37" s="15" t="str">
        <x:v>Lê Văn Phong</x:v>
      </x:c>
      <x:c r="B37" s="15" t="str">
        <x:v>Nam</x:v>
      </x:c>
      <x:c r="C37" s="15" t="str">
        <x:v>HE204745</x:v>
      </x:c>
      <x:c r="D37" s="15" t="str">
        <x:v>Công nghệ thông tin</x:v>
      </x:c>
      <x:c r="E37" s="15" t="str">
        <x:v>Tân Xã</x:v>
      </x:c>
      <x:c r="F37" s="15" t="str">
        <x:v>Chung cư mini/Studio</x:v>
      </x:c>
      <x:c r="G37" s="21" t="str">
        <x:v>2.6</x:v>
      </x:c>
      <x:c r="H37" s="21" t="str">
        <x:v>3.0</x:v>
      </x:c>
      <x:c r="I37" s="27" t="str">
        <x:v>2</x:v>
      </x:c>
      <x:c r="J37" s="15" t="str">
        <x:v>Xe máy</x:v>
      </x:c>
    </x:row>
    <x:row r="38">
      <x:c r="A38" s="15" t="str">
        <x:v>Phùng Thị Quỳnh</x:v>
      </x:c>
      <x:c r="B38" s="15" t="str">
        <x:v>Nữ</x:v>
      </x:c>
      <x:c r="C38" s="15" t="str">
        <x:v>HC206868</x:v>
      </x:c>
      <x:c r="D38" s="15" t="str">
        <x:v>Thiết kế mỹ thuật số</x:v>
      </x:c>
      <x:c r="E38" s="15" t="str">
        <x:v>Dom D</x:v>
      </x:c>
      <x:c r="F38" s="15" t="str">
        <x:v>Ký túc xá</x:v>
      </x:c>
      <x:c r="G38" s="21" t="str">
        <x:v>0.6</x:v>
      </x:c>
      <x:c r="H38" s="21" t="str">
        <x:v>1.1</x:v>
      </x:c>
      <x:c r="I38" s="27" t="str">
        <x:v>4</x:v>
      </x:c>
      <x:c r="J38" s="15" t="str">
        <x:v>Đi bộ</x:v>
      </x:c>
    </x:row>
    <x:row r="39">
      <x:c r="A39" s="15" t="str">
        <x:v>Đoàn Văn Sinh</x:v>
      </x:c>
      <x:c r="B39" s="15" t="str">
        <x:v>Nam</x:v>
      </x:c>
      <x:c r="C39" s="15" t="str">
        <x:v>HE192364</x:v>
      </x:c>
      <x:c r="D39" s="15" t="str">
        <x:v>Công nghệ thông tin</x:v>
      </x:c>
      <x:c r="E39" s="15" t="str">
        <x:v>Thạch Hòa</x:v>
      </x:c>
      <x:c r="F39" s="15" t="str">
        <x:v>Chung cư mini</x:v>
      </x:c>
      <x:c r="G39" s="21" t="str">
        <x:v>3.3</x:v>
      </x:c>
      <x:c r="H39" s="21" t="str">
        <x:v>2.8</x:v>
      </x:c>
      <x:c r="I39" s="27" t="str">
        <x:v>2</x:v>
      </x:c>
      <x:c r="J39" s="15" t="str">
        <x:v>Xe máy</x:v>
      </x:c>
    </x:row>
    <x:row r="40">
      <x:c r="A40" s="15" t="str">
        <x:v>Nguyễn Thị Tú</x:v>
      </x:c>
      <x:c r="B40" s="15" t="str">
        <x:v>Nữ</x:v>
      </x:c>
      <x:c r="C40" s="15" t="str">
        <x:v>HA198859</x:v>
      </x:c>
      <x:c r="D40" s="15" t="str">
        <x:v>Quản trị kinh doanh</x:v>
      </x:c>
      <x:c r="E40" s="15" t="str">
        <x:v>Hòa Lạc</x:v>
      </x:c>
      <x:c r="F40" s="15" t="str">
        <x:v>Phòng khép kín</x:v>
      </x:c>
      <x:c r="G40" s="21" t="str">
        <x:v>4.8</x:v>
      </x:c>
      <x:c r="H40" s="21" t="str">
        <x:v>2.0</x:v>
      </x:c>
      <x:c r="I40" s="27" t="str">
        <x:v>1</x:v>
      </x:c>
      <x:c r="J40" s="15" t="str">
        <x:v>Xe buýt</x:v>
      </x:c>
    </x:row>
    <x:row r="41">
      <x:c r="A41" s="15" t="str">
        <x:v>Trần Văn Uy</x:v>
      </x:c>
      <x:c r="B41" s="15" t="str">
        <x:v>Nam</x:v>
      </x:c>
      <x:c r="C41" s="15" t="str">
        <x:v>HC211930</x:v>
      </x:c>
      <x:c r="D41" s="15" t="str">
        <x:v>Thiết kế mỹ thuật số</x:v>
      </x:c>
      <x:c r="E41" s="15" t="str">
        <x:v>Tân Xã</x:v>
      </x:c>
      <x:c r="F41" s="15" t="str">
        <x:v>Chung cư mini/Studio</x:v>
      </x:c>
      <x:c r="G41" s="21" t="str">
        <x:v>3.3</x:v>
      </x:c>
      <x:c r="H41" s="21" t="str">
        <x:v>2.9</x:v>
      </x:c>
      <x:c r="I41" s="27" t="str">
        <x:v>3</x:v>
      </x:c>
      <x:c r="J41" s="15" t="str">
        <x:v>Xe máy</x:v>
      </x:c>
    </x:row>
    <x:row r="42">
      <x:c r="A42" s="15" t="str">
        <x:v>Lê Thị Vy</x:v>
      </x:c>
      <x:c r="B42" s="15" t="str">
        <x:v>Nữ</x:v>
      </x:c>
      <x:c r="C42" s="15" t="str">
        <x:v>HC199354</x:v>
      </x:c>
      <x:c r="D42" s="15" t="str">
        <x:v>Thiết kế mỹ thuật số</x:v>
      </x:c>
      <x:c r="E42" s="15" t="str">
        <x:v>Dom A</x:v>
      </x:c>
      <x:c r="F42" s="15" t="str">
        <x:v>Ký túc xá</x:v>
      </x:c>
      <x:c r="G42" s="21" t="str">
        <x:v>0.1</x:v>
      </x:c>
      <x:c r="H42" s="21" t="str">
        <x:v>1.1</x:v>
      </x:c>
      <x:c r="I42" s="27" t="str">
        <x:v>4</x:v>
      </x:c>
      <x:c r="J42" s="15" t="str">
        <x:v>Đi bộ</x:v>
      </x:c>
    </x:row>
    <x:row r="43">
      <x:c r="A43" s="15" t="str">
        <x:v>Phạm Văn Hùng</x:v>
      </x:c>
      <x:c r="B43" s="15" t="str">
        <x:v>Nam</x:v>
      </x:c>
      <x:c r="C43" s="15" t="str">
        <x:v>HA195055</x:v>
      </x:c>
      <x:c r="D43" s="15" t="str">
        <x:v>Quản trị kinh doanh</x:v>
      </x:c>
      <x:c r="E43" s="15" t="str">
        <x:v>Thạch Hòa</x:v>
      </x:c>
      <x:c r="F43" s="15" t="str">
        <x:v>Phòng trọ cơ bản</x:v>
      </x:c>
      <x:c r="G43" s="21" t="str">
        <x:v>2.9</x:v>
      </x:c>
      <x:c r="H43" s="21" t="str">
        <x:v>2.2</x:v>
      </x:c>
      <x:c r="I43" s="27" t="str">
        <x:v>2</x:v>
      </x:c>
      <x:c r="J43" s="15" t="str">
        <x:v>Xe máy</x:v>
      </x:c>
    </x:row>
    <x:row r="44">
      <x:c r="A44" s="15" t="str">
        <x:v>Vũ Thị Yến</x:v>
      </x:c>
      <x:c r="B44" s="15" t="str">
        <x:v>Nữ</x:v>
      </x:c>
      <x:c r="C44" s="15" t="str">
        <x:v>HS209180</x:v>
      </x:c>
      <x:c r="D44" s="15" t="str">
        <x:v>An toàn thông tin</x:v>
      </x:c>
      <x:c r="E44" s="15" t="str">
        <x:v>Hòa Lạc</x:v>
      </x:c>
      <x:c r="F44" s="15" t="str">
        <x:v>Phòng khép kín</x:v>
      </x:c>
      <x:c r="G44" s="21" t="str">
        <x:v>5.8</x:v>
      </x:c>
      <x:c r="H44" s="21" t="str">
        <x:v>1.7</x:v>
      </x:c>
      <x:c r="I44" s="27" t="str">
        <x:v>2</x:v>
      </x:c>
      <x:c r="J44" s="15" t="str">
        <x:v>Xe buýt</x:v>
      </x:c>
    </x:row>
    <x:row r="45">
      <x:c r="A45" s="15" t="str">
        <x:v>Hoàng Văn An</x:v>
      </x:c>
      <x:c r="B45" s="15" t="str">
        <x:v>Nam</x:v>
      </x:c>
      <x:c r="C45" s="15" t="str">
        <x:v>HC212962</x:v>
      </x:c>
      <x:c r="D45" s="15" t="str">
        <x:v>Thiết kế mỹ thuật số</x:v>
      </x:c>
      <x:c r="E45" s="15" t="str">
        <x:v>Tân Xã</x:v>
      </x:c>
      <x:c r="F45" s="15" t="str">
        <x:v>Chung cư mini/Studio</x:v>
      </x:c>
      <x:c r="G45" s="21" t="str">
        <x:v>2.9</x:v>
      </x:c>
      <x:c r="H45" s="21" t="str">
        <x:v>2.7</x:v>
      </x:c>
      <x:c r="I45" s="27" t="str">
        <x:v>3</x:v>
      </x:c>
      <x:c r="J45" s="15" t="str">
        <x:v>Xe máy</x:v>
      </x:c>
    </x:row>
    <x:row r="46">
      <x:c r="A46" s="15" t="str">
        <x:v>Bùi Thị Bình</x:v>
      </x:c>
      <x:c r="B46" s="15" t="str">
        <x:v>Nữ</x:v>
      </x:c>
      <x:c r="C46" s="15" t="str">
        <x:v>HA191689</x:v>
      </x:c>
      <x:c r="D46" s="15" t="str">
        <x:v>Quản trị kinh doanh</x:v>
      </x:c>
      <x:c r="E46" s="15" t="str">
        <x:v>Dom B</x:v>
      </x:c>
      <x:c r="F46" s="15" t="str">
        <x:v>Ký túc xá</x:v>
      </x:c>
      <x:c r="G46" s="21" t="str">
        <x:v>0.2</x:v>
      </x:c>
      <x:c r="H46" s="21" t="str">
        <x:v>1.1</x:v>
      </x:c>
      <x:c r="I46" s="27" t="str">
        <x:v>4</x:v>
      </x:c>
      <x:c r="J46" s="15" t="str">
        <x:v>Đi bộ</x:v>
      </x:c>
    </x:row>
    <x:row r="47">
      <x:c r="A47" s="15" t="str">
        <x:v>Nguyễn Văn Cung</x:v>
      </x:c>
      <x:c r="B47" s="15" t="str">
        <x:v>Nam</x:v>
      </x:c>
      <x:c r="C47" s="15" t="str">
        <x:v>HS219529</x:v>
      </x:c>
      <x:c r="D47" s="15" t="str">
        <x:v>An toàn thông tin</x:v>
      </x:c>
      <x:c r="E47" s="15" t="str">
        <x:v>Thạch Hòa</x:v>
      </x:c>
      <x:c r="F47" s="15" t="str">
        <x:v>Phòng trọ cơ bản</x:v>
      </x:c>
      <x:c r="G47" s="21" t="str">
        <x:v>3.6</x:v>
      </x:c>
      <x:c r="H47" s="21" t="str">
        <x:v>2.0</x:v>
      </x:c>
      <x:c r="I47" s="27" t="str">
        <x:v>2</x:v>
      </x:c>
      <x:c r="J47" s="15" t="str">
        <x:v>Xe máy</x:v>
      </x:c>
    </x:row>
    <x:row r="48">
      <x:c r="A48" s="15" t="str">
        <x:v>Lê Thị Dung</x:v>
      </x:c>
      <x:c r="B48" s="15" t="str">
        <x:v>Nữ</x:v>
      </x:c>
      <x:c r="C48" s="15" t="str">
        <x:v>HE189359</x:v>
      </x:c>
      <x:c r="D48" s="15" t="str">
        <x:v>Công nghệ thông tin</x:v>
      </x:c>
      <x:c r="E48" s="15" t="str">
        <x:v>Hòa Lạc</x:v>
      </x:c>
      <x:c r="F48" s="15" t="str">
        <x:v>Phòng khép kín</x:v>
      </x:c>
      <x:c r="G48" s="21" t="str">
        <x:v>8.5</x:v>
      </x:c>
      <x:c r="H48" s="21" t="str">
        <x:v>1.2</x:v>
      </x:c>
      <x:c r="I48" s="27" t="str">
        <x:v>2</x:v>
      </x:c>
      <x:c r="J48" s="15" t="str">
        <x:v>Xe buýt</x:v>
      </x:c>
    </x:row>
    <x:row r="49">
      <x:c r="A49" s="15" t="str">
        <x:v>Trần Văn Hiếu</x:v>
      </x:c>
      <x:c r="B49" s="15" t="str">
        <x:v>Nam</x:v>
      </x:c>
      <x:c r="C49" s="15" t="str">
        <x:v>HE193079</x:v>
      </x:c>
      <x:c r="D49" s="15" t="str">
        <x:v>Công nghệ thông tin</x:v>
      </x:c>
      <x:c r="E49" s="15" t="str">
        <x:v>Tân Xã</x:v>
      </x:c>
      <x:c r="F49" s="15" t="str">
        <x:v>Chung cư mini/Studio</x:v>
      </x:c>
      <x:c r="G49" s="21" t="str">
        <x:v>3.6</x:v>
      </x:c>
      <x:c r="H49" s="21" t="str">
        <x:v>3.1</x:v>
      </x:c>
      <x:c r="I49" s="27" t="str">
        <x:v>3</x:v>
      </x:c>
      <x:c r="J49" s="15" t="str">
        <x:v>Xe máy</x:v>
      </x:c>
    </x:row>
    <x:row r="50">
      <x:c r="A50" s="15" t="str">
        <x:v>Phạm Thị Gấm</x:v>
      </x:c>
      <x:c r="B50" s="15" t="str">
        <x:v>Nữ</x:v>
      </x:c>
      <x:c r="C50" s="15" t="str">
        <x:v>HS216102</x:v>
      </x:c>
      <x:c r="D50" s="15" t="str">
        <x:v>An toàn thông tin</x:v>
      </x:c>
      <x:c r="E50" s="15" t="str">
        <x:v>Dom C</x:v>
      </x:c>
      <x:c r="F50" s="15" t="str">
        <x:v>Ký túc xá</x:v>
      </x:c>
      <x:c r="G50" s="21" t="str">
        <x:v>0.3</x:v>
      </x:c>
      <x:c r="H50" s="21" t="str">
        <x:v>1.1</x:v>
      </x:c>
      <x:c r="I50" s="27" t="str">
        <x:v>4</x:v>
      </x:c>
      <x:c r="J50" s="15" t="str">
        <x:v>Đi bộ</x:v>
      </x:c>
    </x:row>
    <x:row r="51">
      <x:c r="A51" s="15" t="str">
        <x:v>Vũ Văn Hải</x:v>
      </x:c>
      <x:c r="B51" s="15" t="str">
        <x:v>Nam</x:v>
      </x:c>
      <x:c r="C51" s="15" t="str">
        <x:v>HE211597</x:v>
      </x:c>
      <x:c r="D51" s="15" t="str">
        <x:v>Công nghệ thông tin</x:v>
      </x:c>
      <x:c r="E51" s="15" t="str">
        <x:v>Thạch Hòa</x:v>
      </x:c>
      <x:c r="F51" s="15" t="str">
        <x:v>Phòng trọ cơ bản</x:v>
      </x:c>
      <x:c r="G51" s="21" t="str">
        <x:v>4.1</x:v>
      </x:c>
      <x:c r="H51" s="21" t="str">
        <x:v>1.9</x:v>
      </x:c>
      <x:c r="I51" s="27" t="str">
        <x:v>2</x:v>
      </x:c>
      <x:c r="J51" s="15" t="str">
        <x:v>Xe máy</x:v>
      </x:c>
    </x:row>
    <x:row r="52">
      <x:c r="A52" s="15" t="str">
        <x:v>Hoàng Thị Khoa</x:v>
      </x:c>
      <x:c r="B52" s="15" t="str">
        <x:v>Nữ</x:v>
      </x:c>
      <x:c r="C52" s="15" t="str">
        <x:v>HC218975</x:v>
      </x:c>
      <x:c r="D52" s="15" t="str">
        <x:v>Thiết kế mỹ thuật số</x:v>
      </x:c>
      <x:c r="E52" s="15" t="str">
        <x:v>Hòa Lạc</x:v>
      </x:c>
      <x:c r="F52" s="15" t="str">
        <x:v>Phòng khép kín</x:v>
      </x:c>
      <x:c r="G52" s="21" t="str">
        <x:v>6.8</x:v>
      </x:c>
      <x:c r="H52" s="21" t="str">
        <x:v>1.6</x:v>
      </x:c>
      <x:c r="I52" s="27" t="str">
        <x:v>1</x:v>
      </x:c>
      <x:c r="J52" s="15" t="str">
        <x:v>Xe buýt</x:v>
      </x:c>
    </x:row>
    <x:row r="53">
      <x:c r="A53" s="15" t="str">
        <x:v>Bùi Văn Long</x:v>
      </x:c>
      <x:c r="B53" s="15" t="str">
        <x:v>Nam</x:v>
      </x:c>
      <x:c r="C53" s="15" t="str">
        <x:v>HA181029</x:v>
      </x:c>
      <x:c r="D53" s="15" t="str">
        <x:v>Quản trị kinh doanh</x:v>
      </x:c>
      <x:c r="E53" s="15" t="str">
        <x:v>Tân Xã</x:v>
      </x:c>
      <x:c r="F53" s="15" t="str">
        <x:v>Phòng trọ cơ bản</x:v>
      </x:c>
      <x:c r="G53" s="21" t="str">
        <x:v>4.2</x:v>
      </x:c>
      <x:c r="H53" s="21" t="str">
        <x:v>2.1</x:v>
      </x:c>
      <x:c r="I53" s="27" t="str">
        <x:v>2</x:v>
      </x:c>
      <x:c r="J53" s="15" t="str">
        <x:v>Xe máy</x:v>
      </x:c>
    </x:row>
    <x:row r="54">
      <x:c r="A54" s="15" t="str">
        <x:v>Nguyễn Thị Mỹ</x:v>
      </x:c>
      <x:c r="B54" s="15" t="str">
        <x:v>Nữ</x:v>
      </x:c>
      <x:c r="C54" s="15" t="str">
        <x:v>HE209247</x:v>
      </x:c>
      <x:c r="D54" s="15" t="str">
        <x:v>Công nghệ thông tin</x:v>
      </x:c>
      <x:c r="E54" s="15" t="str">
        <x:v>Dom D</x:v>
      </x:c>
      <x:c r="F54" s="15" t="str">
        <x:v>Ký túc xá</x:v>
      </x:c>
      <x:c r="G54" s="21" t="str">
        <x:v>0.7</x:v>
      </x:c>
      <x:c r="H54" s="21" t="str">
        <x:v>1.1</x:v>
      </x:c>
      <x:c r="I54" s="27" t="str">
        <x:v>4</x:v>
      </x:c>
      <x:c r="J54" s="15" t="str">
        <x:v>Đi bộ</x:v>
      </x:c>
    </x:row>
    <x:row r="55">
      <x:c r="A55" s="15" t="str">
        <x:v>Lê Văn Nam</x:v>
      </x:c>
      <x:c r="B55" s="15" t="str">
        <x:v>Nam</x:v>
      </x:c>
      <x:c r="C55" s="15" t="str">
        <x:v>HA180977</x:v>
      </x:c>
      <x:c r="D55" s="15" t="str">
        <x:v>Quản trị kinh doanh</x:v>
      </x:c>
      <x:c r="E55" s="15" t="str">
        <x:v>Thạch Hòa</x:v>
      </x:c>
      <x:c r="F55" s="15" t="str">
        <x:v>Phòng trọ cơ bản</x:v>
      </x:c>
      <x:c r="G55" s="21" t="str">
        <x:v>3.1</x:v>
      </x:c>
      <x:c r="H55" s="21" t="str">
        <x:v>2.0</x:v>
      </x:c>
      <x:c r="I55" s="27" t="str">
        <x:v>1</x:v>
      </x:c>
      <x:c r="J55" s="15" t="str">
        <x:v>Xe máy</x:v>
      </x:c>
    </x:row>
    <x:row r="56">
      <x:c r="A56" s="15" t="str">
        <x:v>Phan Thị Oanh</x:v>
      </x:c>
      <x:c r="B56" s="15" t="str">
        <x:v>Nữ</x:v>
      </x:c>
      <x:c r="C56" s="15" t="str">
        <x:v>HA213375</x:v>
      </x:c>
      <x:c r="D56" s="15" t="str">
        <x:v>Quản trị kinh doanh</x:v>
      </x:c>
      <x:c r="E56" s="15" t="str">
        <x:v>Hòa Lạc</x:v>
      </x:c>
      <x:c r="F56" s="15" t="str">
        <x:v>Phòng khép kín</x:v>
      </x:c>
      <x:c r="G56" s="21" t="str">
        <x:v>5.3</x:v>
      </x:c>
      <x:c r="H56" s="21" t="str">
        <x:v>1.9</x:v>
      </x:c>
      <x:c r="I56" s="27" t="str">
        <x:v>1</x:v>
      </x:c>
      <x:c r="J56" s="15" t="str">
        <x:v>Xe buýt</x:v>
      </x:c>
    </x:row>
    <x:row r="57">
      <x:c r="A57" s="15" t="str">
        <x:v>Trần Văn Phát</x:v>
      </x:c>
      <x:c r="B57" s="15" t="str">
        <x:v>Nam</x:v>
      </x:c>
      <x:c r="C57" s="15" t="str">
        <x:v>HS218134</x:v>
      </x:c>
      <x:c r="D57" s="15" t="str">
        <x:v>An toàn thông tin</x:v>
      </x:c>
      <x:c r="E57" s="15" t="str">
        <x:v>Tân Xã</x:v>
      </x:c>
      <x:c r="F57" s="15" t="str">
        <x:v>Phòng trọ cơ bản</x:v>
      </x:c>
      <x:c r="G57" s="21" t="str">
        <x:v>2.4</x:v>
      </x:c>
      <x:c r="H57" s="21" t="str">
        <x:v>2.3</x:v>
      </x:c>
      <x:c r="I57" s="27" t="str">
        <x:v>1</x:v>
      </x:c>
      <x:c r="J57" s="15" t="str">
        <x:v>Xe máy</x:v>
      </x:c>
    </x:row>
    <x:row r="58">
      <x:c r="A58" s="15" t="str">
        <x:v>Nguyễn Thị Quốc</x:v>
      </x:c>
      <x:c r="B58" s="15" t="str">
        <x:v>Nữ</x:v>
      </x:c>
      <x:c r="C58" s="15" t="str">
        <x:v>HE208712</x:v>
      </x:c>
      <x:c r="D58" s="15" t="str">
        <x:v>Công nghệ thông tin</x:v>
      </x:c>
      <x:c r="E58" s="15" t="str">
        <x:v>Dom A</x:v>
      </x:c>
      <x:c r="F58" s="15" t="str">
        <x:v>Ký túc xá</x:v>
      </x:c>
      <x:c r="G58" s="21" t="str">
        <x:v>0.1</x:v>
      </x:c>
      <x:c r="H58" s="21" t="str">
        <x:v>1.1</x:v>
      </x:c>
      <x:c r="I58" s="27" t="str">
        <x:v>4</x:v>
      </x:c>
      <x:c r="J58" s="15" t="str">
        <x:v>Đi bộ</x:v>
      </x:c>
    </x:row>
    <x:row r="59">
      <x:c r="A59" s="15" t="str">
        <x:v>Lê Văn Sáng</x:v>
      </x:c>
      <x:c r="B59" s="15" t="str">
        <x:v>Nam</x:v>
      </x:c>
      <x:c r="C59" s="15" t="str">
        <x:v>HS187006</x:v>
      </x:c>
      <x:c r="D59" s="15" t="str">
        <x:v>An toàn thông tin</x:v>
      </x:c>
      <x:c r="E59" s="15" t="str">
        <x:v>Thạch Hòa</x:v>
      </x:c>
      <x:c r="F59" s="15" t="str">
        <x:v>Phòng trọ cơ bản</x:v>
      </x:c>
      <x:c r="G59" s="21" t="str">
        <x:v>2.7</x:v>
      </x:c>
      <x:c r="H59" s="21" t="str">
        <x:v>2.3</x:v>
      </x:c>
      <x:c r="I59" s="27" t="str">
        <x:v>1</x:v>
      </x:c>
      <x:c r="J59" s="15" t="str">
        <x:v>Xe máy</x:v>
      </x:c>
    </x:row>
    <x:row r="60">
      <x:c r="A60" s="15" t="str">
        <x:v>Phùng Thị Tâm</x:v>
      </x:c>
      <x:c r="B60" s="15" t="str">
        <x:v>Nữ</x:v>
      </x:c>
      <x:c r="C60" s="15" t="str">
        <x:v>HA195147</x:v>
      </x:c>
      <x:c r="D60" s="15" t="str">
        <x:v>Quản trị kinh doanh</x:v>
      </x:c>
      <x:c r="E60" s="15" t="str">
        <x:v>Hòa Lạc</x:v>
      </x:c>
      <x:c r="F60" s="15" t="str">
        <x:v>Phòng khép kín</x:v>
      </x:c>
      <x:c r="G60" s="21" t="str">
        <x:v>7.2</x:v>
      </x:c>
      <x:c r="H60" s="21" t="str">
        <x:v>1.4</x:v>
      </x:c>
      <x:c r="I60" s="27" t="str">
        <x:v>1</x:v>
      </x:c>
      <x:c r="J60" s="15" t="str">
        <x:v>Xe buýt</x:v>
      </x:c>
    </x:row>
    <x:row r="61">
      <x:c r="A61" s="15" t="str">
        <x:v>Đoàn Văn Uy</x:v>
      </x:c>
      <x:c r="B61" s="15" t="str">
        <x:v>Nam</x:v>
      </x:c>
      <x:c r="C61" s="15" t="str">
        <x:v>HS207629</x:v>
      </x:c>
      <x:c r="D61" s="15" t="str">
        <x:v>An toàn thông tin</x:v>
      </x:c>
      <x:c r="E61" s="15" t="str">
        <x:v>Tân Xã</x:v>
      </x:c>
      <x:c r="F61" s="15" t="str">
        <x:v>Phòng trọ cơ bản</x:v>
      </x:c>
      <x:c r="G61" s="21" t="str">
        <x:v>3.2</x:v>
      </x:c>
      <x:c r="H61" s="21" t="str">
        <x:v>2.2</x:v>
      </x:c>
      <x:c r="I61" s="27" t="str">
        <x:v>1</x:v>
      </x:c>
      <x:c r="J61" s="15" t="str">
        <x:v>Xe máy</x:v>
      </x:c>
    </x:row>
    <x:row r="62">
      <x:c r="A62" s="15" t="str">
        <x:v>Nguyễn Thị Vui</x:v>
      </x:c>
      <x:c r="B62" s="15" t="str">
        <x:v>Nữ</x:v>
      </x:c>
      <x:c r="C62" s="15" t="str">
        <x:v>HS189594</x:v>
      </x:c>
      <x:c r="D62" s="15" t="str">
        <x:v>An toàn thông tin</x:v>
      </x:c>
      <x:c r="E62" s="15" t="str">
        <x:v>Dom B</x:v>
      </x:c>
      <x:c r="F62" s="15" t="str">
        <x:v>Ký túc xá</x:v>
      </x:c>
      <x:c r="G62" s="21" t="str">
        <x:v>0.4</x:v>
      </x:c>
      <x:c r="H62" s="21" t="str">
        <x:v>1.1</x:v>
      </x:c>
      <x:c r="I62" s="27" t="str">
        <x:v>4</x:v>
      </x:c>
      <x:c r="J62" s="15" t="str">
        <x:v>Đi bộ</x:v>
      </x:c>
    </x:row>
    <x:row r="63">
      <x:c r="A63" s="15" t="str">
        <x:v>Trần Văn Thành</x:v>
      </x:c>
      <x:c r="B63" s="15" t="str">
        <x:v>Nam</x:v>
      </x:c>
      <x:c r="C63" s="15" t="str">
        <x:v>HA217425</x:v>
      </x:c>
      <x:c r="D63" s="15" t="str">
        <x:v>Quản trị kinh doanh</x:v>
      </x:c>
      <x:c r="E63" s="15" t="str">
        <x:v>Thạch Hòa</x:v>
      </x:c>
      <x:c r="F63" s="15" t="str">
        <x:v>Chung cư mini</x:v>
      </x:c>
      <x:c r="G63" s="21" t="str">
        <x:v>3.9</x:v>
      </x:c>
      <x:c r="H63" s="21" t="str">
        <x:v>2.6</x:v>
      </x:c>
      <x:c r="I63" s="27" t="str">
        <x:v>2</x:v>
      </x:c>
      <x:c r="J63" s="15" t="str">
        <x:v>Xe máy</x:v>
      </x:c>
    </x:row>
    <x:row r="64">
      <x:c r="A64" s="15" t="str">
        <x:v>Lê Thị Duyên</x:v>
      </x:c>
      <x:c r="B64" s="15" t="str">
        <x:v>Nữ</x:v>
      </x:c>
      <x:c r="C64" s="15" t="str">
        <x:v>HE185925</x:v>
      </x:c>
      <x:c r="D64" s="15" t="str">
        <x:v>Công nghệ thông tin</x:v>
      </x:c>
      <x:c r="E64" s="15" t="str">
        <x:v>Hòa Lạc</x:v>
      </x:c>
      <x:c r="F64" s="15" t="str">
        <x:v>Phòng khép kín</x:v>
      </x:c>
      <x:c r="G64" s="21" t="str">
        <x:v>4.9</x:v>
      </x:c>
      <x:c r="H64" s="21" t="str">
        <x:v>2.0</x:v>
      </x:c>
      <x:c r="I64" s="27" t="str">
        <x:v>1</x:v>
      </x:c>
      <x:c r="J64" s="15" t="str">
        <x:v>Xe buýt</x:v>
      </x:c>
    </x:row>
    <x:row r="65">
      <x:c r="A65" s="15" t="str">
        <x:v>Phạm Văn An</x:v>
      </x:c>
      <x:c r="B65" s="15" t="str">
        <x:v>Nam</x:v>
      </x:c>
      <x:c r="C65" s="15" t="str">
        <x:v>HA204912</x:v>
      </x:c>
      <x:c r="D65" s="15" t="str">
        <x:v>Quản trị kinh doanh</x:v>
      </x:c>
      <x:c r="E65" s="15" t="str">
        <x:v>Tân Xã</x:v>
      </x:c>
      <x:c r="F65" s="15" t="str">
        <x:v>Phòng trọ cơ bản</x:v>
      </x:c>
      <x:c r="G65" s="21" t="str">
        <x:v>3.8</x:v>
      </x:c>
      <x:c r="H65" s="21" t="str">
        <x:v>1.9</x:v>
      </x:c>
      <x:c r="I65" s="27" t="str">
        <x:v>2</x:v>
      </x:c>
      <x:c r="J65" s="15" t="str">
        <x:v>Xe máy</x:v>
      </x:c>
    </x:row>
    <x:row r="66">
      <x:c r="A66" s="15" t="str">
        <x:v>Vũ Thị Nhung</x:v>
      </x:c>
      <x:c r="B66" s="15" t="str">
        <x:v>Nữ</x:v>
      </x:c>
      <x:c r="C66" s="15" t="str">
        <x:v>HS184071</x:v>
      </x:c>
      <x:c r="D66" s="15" t="str">
        <x:v>An toàn thông tin</x:v>
      </x:c>
      <x:c r="E66" s="15" t="str">
        <x:v>Dom C</x:v>
      </x:c>
      <x:c r="F66" s="15" t="str">
        <x:v>Ký túc xá</x:v>
      </x:c>
      <x:c r="G66" s="21" t="str">
        <x:v>0.5</x:v>
      </x:c>
      <x:c r="H66" s="21" t="str">
        <x:v>1.1</x:v>
      </x:c>
      <x:c r="I66" s="27" t="str">
        <x:v>4</x:v>
      </x:c>
      <x:c r="J66" s="15" t="str">
        <x:v>Đi bộ</x:v>
      </x:c>
    </x:row>
    <x:row r="67">
      <x:c r="A67" s="15" t="str">
        <x:v>Hoàng Văn Chung</x:v>
      </x:c>
      <x:c r="B67" s="15" t="str">
        <x:v>Nam</x:v>
      </x:c>
      <x:c r="C67" s="15" t="str">
        <x:v>HS182946</x:v>
      </x:c>
      <x:c r="D67" s="15" t="str">
        <x:v>An toàn thông tin</x:v>
      </x:c>
      <x:c r="E67" s="15" t="str">
        <x:v>Thạch Hòa</x:v>
      </x:c>
      <x:c r="F67" s="15" t="str">
        <x:v>Chung cư mini</x:v>
      </x:c>
      <x:c r="G67" s="21" t="str">
        <x:v>3.4</x:v>
      </x:c>
      <x:c r="H67" s="21" t="str">
        <x:v>2.7</x:v>
      </x:c>
      <x:c r="I67" s="27" t="str">
        <x:v>2</x:v>
      </x:c>
      <x:c r="J67" s="15" t="str">
        <x:v>Xe máy</x:v>
      </x:c>
    </x:row>
    <x:row r="68">
      <x:c r="A68" s="15" t="str">
        <x:v>Bùi Thị Đào</x:v>
      </x:c>
      <x:c r="B68" s="15" t="str">
        <x:v>Nữ</x:v>
      </x:c>
      <x:c r="C68" s="15" t="str">
        <x:v>HE214000</x:v>
      </x:c>
      <x:c r="D68" s="15" t="str">
        <x:v>Công nghệ thông tin</x:v>
      </x:c>
      <x:c r="E68" s="15" t="str">
        <x:v>Hòa Lạc</x:v>
      </x:c>
      <x:c r="F68" s="15" t="str">
        <x:v>Phòng khép kín</x:v>
      </x:c>
      <x:c r="G68" s="21" t="str">
        <x:v>6.4</x:v>
      </x:c>
      <x:c r="H68" s="21" t="str">
        <x:v>1.7</x:v>
      </x:c>
      <x:c r="I68" s="27" t="str">
        <x:v>1</x:v>
      </x:c>
      <x:c r="J68" s="15" t="str">
        <x:v>Xe buýt</x:v>
      </x:c>
    </x:row>
    <x:row r="69">
      <x:c r="A69" s="15" t="str">
        <x:v>Nguyễn Văn Tuấn</x:v>
      </x:c>
      <x:c r="B69" s="15" t="str">
        <x:v>Nam</x:v>
      </x:c>
      <x:c r="C69" s="15" t="str">
        <x:v>HE191342</x:v>
      </x:c>
      <x:c r="D69" s="15" t="str">
        <x:v>Công nghệ thông tin</x:v>
      </x:c>
      <x:c r="E69" s="15" t="str">
        <x:v>Tân Xã</x:v>
      </x:c>
      <x:c r="F69" s="15" t="str">
        <x:v>Phòng trọ cơ bản</x:v>
      </x:c>
      <x:c r="G69" s="21" t="str">
        <x:v>3.0</x:v>
      </x:c>
      <x:c r="H69" s="21" t="str">
        <x:v>2.5</x:v>
      </x:c>
      <x:c r="I69" s="27" t="str">
        <x:v>1</x:v>
      </x:c>
      <x:c r="J69" s="15" t="str">
        <x:v>Xe máy</x:v>
      </x:c>
    </x:row>
    <x:row r="70">
      <x:c r="A70" s="15" t="str">
        <x:v>Lê Thị Giáp</x:v>
      </x:c>
      <x:c r="B70" s="15" t="str">
        <x:v>Nữ</x:v>
      </x:c>
      <x:c r="C70" s="15" t="str">
        <x:v>HS219412</x:v>
      </x:c>
      <x:c r="D70" s="15" t="str">
        <x:v>An toàn thông tin</x:v>
      </x:c>
      <x:c r="E70" s="15" t="str">
        <x:v>Dom D</x:v>
      </x:c>
      <x:c r="F70" s="15" t="str">
        <x:v>Ký túc xá</x:v>
      </x:c>
      <x:c r="G70" s="21" t="str">
        <x:v>0.2</x:v>
      </x:c>
      <x:c r="H70" s="21" t="str">
        <x:v>1.1</x:v>
      </x:c>
      <x:c r="I70" s="27" t="str">
        <x:v>4</x:v>
      </x:c>
      <x:c r="J70" s="15" t="str">
        <x:v>Đi bộ</x:v>
      </x:c>
    </x:row>
    <x:row r="71">
      <x:c r="A71" s="15" t="str">
        <x:v>Trần Văn Hương</x:v>
      </x:c>
      <x:c r="B71" s="15" t="str">
        <x:v>Nam</x:v>
      </x:c>
      <x:c r="C71" s="15" t="str">
        <x:v>HS204920</x:v>
      </x:c>
      <x:c r="D71" s="15" t="str">
        <x:v>An toàn thông tin</x:v>
      </x:c>
      <x:c r="E71" s="15" t="str">
        <x:v>Thạch Hòa</x:v>
      </x:c>
      <x:c r="F71" s="15" t="str">
        <x:v>Phòng trọ cơ bản</x:v>
      </x:c>
      <x:c r="G71" s="21" t="str">
        <x:v>4.6</x:v>
      </x:c>
      <x:c r="H71" s="21" t="str">
        <x:v>1.8</x:v>
      </x:c>
      <x:c r="I71" s="27" t="str">
        <x:v>2</x:v>
      </x:c>
      <x:c r="J71" s="15" t="str">
        <x:v>Xe máy</x:v>
      </x:c>
    </x:row>
    <x:row r="72">
      <x:c r="A72" s="15" t="str">
        <x:v>Phạm Thị Kiều</x:v>
      </x:c>
      <x:c r="B72" s="15" t="str">
        <x:v>Nữ</x:v>
      </x:c>
      <x:c r="C72" s="15" t="str">
        <x:v>HC198605</x:v>
      </x:c>
      <x:c r="D72" s="15" t="str">
        <x:v>Thiết kế mỹ thuật số</x:v>
      </x:c>
      <x:c r="E72" s="15" t="str">
        <x:v>Hòa Lạc</x:v>
      </x:c>
      <x:c r="F72" s="15" t="str">
        <x:v>Phòng khép kín</x:v>
      </x:c>
      <x:c r="G72" s="21" t="str">
        <x:v>5.9</x:v>
      </x:c>
      <x:c r="H72" s="21" t="str">
        <x:v>1.7</x:v>
      </x:c>
      <x:c r="I72" s="27" t="str">
        <x:v>2</x:v>
      </x:c>
      <x:c r="J72" s="15" t="str">
        <x:v>Xe buýt</x:v>
      </x:c>
    </x:row>
    <x:row r="73">
      <x:c r="A73" s="15" t="str">
        <x:v>Vũ Văn Lộc</x:v>
      </x:c>
      <x:c r="B73" s="15" t="str">
        <x:v>Nam</x:v>
      </x:c>
      <x:c r="C73" s="15" t="str">
        <x:v>HS208112</x:v>
      </x:c>
      <x:c r="D73" s="15" t="str">
        <x:v>An toàn thông tin</x:v>
      </x:c>
      <x:c r="E73" s="15" t="str">
        <x:v>Tân Xã</x:v>
      </x:c>
      <x:c r="F73" s="15" t="str">
        <x:v>Phòng trọ cơ bản</x:v>
      </x:c>
      <x:c r="G73" s="21" t="str">
        <x:v>4.1</x:v>
      </x:c>
      <x:c r="H73" s="21" t="str">
        <x:v>2.0</x:v>
      </x:c>
      <x:c r="I73" s="27" t="str">
        <x:v>2</x:v>
      </x:c>
      <x:c r="J73" s="15" t="str">
        <x:v>Xe máy</x:v>
      </x:c>
    </x:row>
    <x:row r="74">
      <x:c r="A74" s="15" t="str">
        <x:v>Hoàng Thị Mai</x:v>
      </x:c>
      <x:c r="B74" s="15" t="str">
        <x:v>Nữ</x:v>
      </x:c>
      <x:c r="C74" s="15" t="str">
        <x:v>HC205628</x:v>
      </x:c>
      <x:c r="D74" s="15" t="str">
        <x:v>Thiết kế mỹ thuật số</x:v>
      </x:c>
      <x:c r="E74" s="15" t="str">
        <x:v>Dom A</x:v>
      </x:c>
      <x:c r="F74" s="15" t="str">
        <x:v>Ký túc xá</x:v>
      </x:c>
      <x:c r="G74" s="21" t="str">
        <x:v>0.3</x:v>
      </x:c>
      <x:c r="H74" s="21" t="str">
        <x:v>1.1</x:v>
      </x:c>
      <x:c r="I74" s="27" t="str">
        <x:v>4</x:v>
      </x:c>
      <x:c r="J74" s="15" t="str">
        <x:v>Đi bộ</x:v>
      </x:c>
    </x:row>
    <x:row r="75">
      <x:c r="A75" s="15" t="str">
        <x:v>Bùi Văn Ngọc</x:v>
      </x:c>
      <x:c r="B75" s="15" t="str">
        <x:v>Nam</x:v>
      </x:c>
      <x:c r="C75" s="15" t="str">
        <x:v>HC217354</x:v>
      </x:c>
      <x:c r="D75" s="15" t="str">
        <x:v>Thiết kế mỹ thuật số</x:v>
      </x:c>
      <x:c r="E75" s="15" t="str">
        <x:v>Thạch Hòa</x:v>
      </x:c>
      <x:c r="F75" s="15" t="str">
        <x:v>Phòng trọ cơ bản</x:v>
      </x:c>
      <x:c r="G75" s="21" t="str">
        <x:v>2.6</x:v>
      </x:c>
      <x:c r="H75" s="21" t="str">
        <x:v>2.2</x:v>
      </x:c>
      <x:c r="I75" s="27" t="str">
        <x:v>1</x:v>
      </x:c>
      <x:c r="J75" s="15" t="str">
        <x:v>Xe máy</x:v>
      </x:c>
    </x:row>
    <x:row r="76">
      <x:c r="A76" s="15" t="str">
        <x:v>Nguyễn Thị Ánh</x:v>
      </x:c>
      <x:c r="B76" s="15" t="str">
        <x:v>Nữ</x:v>
      </x:c>
      <x:c r="C76" s="15" t="str">
        <x:v>HE194718</x:v>
      </x:c>
      <x:c r="D76" s="15" t="str">
        <x:v>Công nghệ thông tin</x:v>
      </x:c>
      <x:c r="E76" s="15" t="str">
        <x:v>Hòa Lạc</x:v>
      </x:c>
      <x:c r="F76" s="15" t="str">
        <x:v>Phòng khép kín</x:v>
      </x:c>
      <x:c r="G76" s="21" t="str">
        <x:v>7.8</x:v>
      </x:c>
      <x:c r="H76" s="21" t="str">
        <x:v>1.5</x:v>
      </x:c>
      <x:c r="I76" s="27" t="str">
        <x:v>2</x:v>
      </x:c>
      <x:c r="J76" s="15" t="str">
        <x:v>Xe buýt</x:v>
      </x:c>
    </x:row>
    <x:row r="77">
      <x:c r="A77" s="15" t="str">
        <x:v>Lê Văn Phú</x:v>
      </x:c>
      <x:c r="B77" s="15" t="str">
        <x:v>Nam</x:v>
      </x:c>
      <x:c r="C77" s="15" t="str">
        <x:v>HS189978</x:v>
      </x:c>
      <x:c r="D77" s="15" t="str">
        <x:v>An toàn thông tin</x:v>
      </x:c>
      <x:c r="E77" s="15" t="str">
        <x:v>Tân Xã</x:v>
      </x:c>
      <x:c r="F77" s="15" t="str">
        <x:v>Phòng trọ cơ bản</x:v>
      </x:c>
      <x:c r="G77" s="21" t="str">
        <x:v>2.5</x:v>
      </x:c>
      <x:c r="H77" s="21" t="str">
        <x:v>2.3</x:v>
      </x:c>
      <x:c r="I77" s="27" t="str">
        <x:v>1</x:v>
      </x:c>
      <x:c r="J77" s="15" t="str">
        <x:v>Xe máy</x:v>
      </x:c>
    </x:row>
    <x:row r="78">
      <x:c r="A78" s="15" t="str">
        <x:v>Phan Thị Quý</x:v>
      </x:c>
      <x:c r="B78" s="15" t="str">
        <x:v>Nữ</x:v>
      </x:c>
      <x:c r="C78" s="15" t="str">
        <x:v>HA181200</x:v>
      </x:c>
      <x:c r="D78" s="15" t="str">
        <x:v>Quản trị kinh doanh</x:v>
      </x:c>
      <x:c r="E78" s="15" t="str">
        <x:v>Dom B</x:v>
      </x:c>
      <x:c r="F78" s="15" t="str">
        <x:v>Ký túc xá</x:v>
      </x:c>
      <x:c r="G78" s="21" t="str">
        <x:v>0.6</x:v>
      </x:c>
      <x:c r="H78" s="21" t="str">
        <x:v>1.1</x:v>
      </x:c>
      <x:c r="I78" s="27" t="str">
        <x:v>4</x:v>
      </x:c>
      <x:c r="J78" s="15" t="str">
        <x:v>Đi bộ</x:v>
      </x:c>
    </x:row>
    <x:row r="79">
      <x:c r="A79" s="15" t="str">
        <x:v>Trần Văn Khang</x:v>
      </x:c>
      <x:c r="B79" s="15" t="str">
        <x:v>Nam</x:v>
      </x:c>
      <x:c r="C79" s="15" t="str">
        <x:v>HS191935</x:v>
      </x:c>
      <x:c r="D79" s="15" t="str">
        <x:v>An toàn thông tin</x:v>
      </x:c>
      <x:c r="E79" s="15" t="str">
        <x:v>Thạch Hòa</x:v>
      </x:c>
      <x:c r="F79" s="15" t="str">
        <x:v>Chung cư mini</x:v>
      </x:c>
      <x:c r="G79" s="21" t="str">
        <x:v>3.7</x:v>
      </x:c>
      <x:c r="H79" s="21" t="str">
        <x:v>2.7</x:v>
      </x:c>
      <x:c r="I79" s="27" t="str">
        <x:v>2</x:v>
      </x:c>
      <x:c r="J79" s="15" t="str">
        <x:v>Xe máy</x:v>
      </x:c>
    </x:row>
    <x:row r="80">
      <x:c r="A80" s="15" t="str">
        <x:v>Nguyễn Thị Thu</x:v>
      </x:c>
      <x:c r="B80" s="15" t="str">
        <x:v>Nữ</x:v>
      </x:c>
      <x:c r="C80" s="15" t="str">
        <x:v>HE188388</x:v>
      </x:c>
      <x:c r="D80" s="15" t="str">
        <x:v>Công nghệ thông tin</x:v>
      </x:c>
      <x:c r="E80" s="15" t="str">
        <x:v>Hòa Lạc</x:v>
      </x:c>
      <x:c r="F80" s="15" t="str">
        <x:v>Phòng khép kín</x:v>
      </x:c>
      <x:c r="G80" s="21" t="str">
        <x:v>5.1</x:v>
      </x:c>
      <x:c r="H80" s="21" t="str">
        <x:v>1.9</x:v>
      </x:c>
      <x:c r="I80" s="27" t="str">
        <x:v>1</x:v>
      </x:c>
      <x:c r="J80" s="15" t="str">
        <x:v>Xe buýt</x:v>
      </x:c>
    </x:row>
    <x:row r="81">
      <x:c r="A81" s="15" t="str">
        <x:v>Lê Văn Tín</x:v>
      </x:c>
      <x:c r="B81" s="15" t="str">
        <x:v>Nam</x:v>
      </x:c>
      <x:c r="C81" s="15" t="str">
        <x:v>HE196851</x:v>
      </x:c>
      <x:c r="D81" s="15" t="str">
        <x:v>Công nghệ thông tin</x:v>
      </x:c>
      <x:c r="E81" s="15" t="str">
        <x:v>Tân Xã</x:v>
      </x:c>
      <x:c r="F81" s="15" t="str">
        <x:v>Phòng trọ cơ bản</x:v>
      </x:c>
      <x:c r="G81" s="21" t="str">
        <x:v>3.5</x:v>
      </x:c>
      <x:c r="H81" s="21" t="str">
        <x:v>2.2</x:v>
      </x:c>
      <x:c r="I81" s="27" t="str">
        <x:v>1</x:v>
      </x:c>
      <x:c r="J81" s="15" t="str">
        <x:v>Xe máy</x:v>
      </x:c>
    </x:row>
    <x:row r="82">
      <x:c r="A82" s="15" t="str">
        <x:v>Phùng Thị Uyên</x:v>
      </x:c>
      <x:c r="B82" s="15" t="str">
        <x:v>Nữ</x:v>
      </x:c>
      <x:c r="C82" s="15" t="str">
        <x:v>HE182703</x:v>
      </x:c>
      <x:c r="D82" s="15" t="str">
        <x:v>Công nghệ thông tin</x:v>
      </x:c>
      <x:c r="E82" s="15" t="str">
        <x:v>Dom C</x:v>
      </x:c>
      <x:c r="F82" s="15" t="str">
        <x:v>Ký túc xá</x:v>
      </x:c>
      <x:c r="G82" s="21" t="str">
        <x:v>0.1</x:v>
      </x:c>
      <x:c r="H82" s="21" t="str">
        <x:v>1.1</x:v>
      </x:c>
      <x:c r="I82" s="27" t="str">
        <x:v>4</x:v>
      </x:c>
      <x:c r="J82" s="15" t="str">
        <x:v>Đi bộ</x:v>
      </x:c>
    </x:row>
    <x:row r="83">
      <x:c r="A83" s="15" t="str">
        <x:v>Đoàn Văn Vinh</x:v>
      </x:c>
      <x:c r="B83" s="15" t="str">
        <x:v>Nam</x:v>
      </x:c>
      <x:c r="C83" s="15" t="str">
        <x:v>HA185605</x:v>
      </x:c>
      <x:c r="D83" s="15" t="str">
        <x:v>Quản trị kinh doanh</x:v>
      </x:c>
      <x:c r="E83" s="15" t="str">
        <x:v>Thạch Hòa</x:v>
      </x:c>
      <x:c r="F83" s="15" t="str">
        <x:v>Chung cư mini</x:v>
      </x:c>
      <x:c r="G83" s="21" t="str">
        <x:v>4.3</x:v>
      </x:c>
      <x:c r="H83" s="21" t="str">
        <x:v>2.5</x:v>
      </x:c>
      <x:c r="I83" s="27" t="str">
        <x:v>2</x:v>
      </x:c>
      <x:c r="J83" s="15" t="str">
        <x:v>Xe máy</x:v>
      </x:c>
    </x:row>
    <x:row r="84">
      <x:c r="A84" s="15" t="str">
        <x:v>Nguyễn Thị Xuân</x:v>
      </x:c>
      <x:c r="B84" s="15" t="str">
        <x:v>Nữ</x:v>
      </x:c>
      <x:c r="C84" s="15" t="str">
        <x:v>HS202491</x:v>
      </x:c>
      <x:c r="D84" s="15" t="str">
        <x:v>An toàn thông tin</x:v>
      </x:c>
      <x:c r="E84" s="15" t="str">
        <x:v>Hòa Lạc</x:v>
      </x:c>
      <x:c r="F84" s="15" t="str">
        <x:v>Phòng khép kín</x:v>
      </x:c>
      <x:c r="G84" s="21" t="str">
        <x:v>8.2</x:v>
      </x:c>
      <x:c r="H84" s="21" t="str">
        <x:v>1.3</x:v>
      </x:c>
      <x:c r="I84" s="27" t="str">
        <x:v>2</x:v>
      </x:c>
      <x:c r="J84" s="15" t="str">
        <x:v>Xe buýt</x:v>
      </x:c>
    </x:row>
    <x:row r="85">
      <x:c r="A85" s="15" t="str">
        <x:v>Trần Văn Yến</x:v>
      </x:c>
      <x:c r="B85" s="15" t="str">
        <x:v>Nam</x:v>
      </x:c>
      <x:c r="C85" s="15" t="str">
        <x:v>HC198012</x:v>
      </x:c>
      <x:c r="D85" s="15" t="str">
        <x:v>Thiết kế mỹ thuật số</x:v>
      </x:c>
      <x:c r="E85" s="15" t="str">
        <x:v>Tân Xã</x:v>
      </x:c>
      <x:c r="F85" s="15" t="str">
        <x:v>Chung cư mini/Studio</x:v>
      </x:c>
      <x:c r="G85" s="21" t="str">
        <x:v>2.1</x:v>
      </x:c>
      <x:c r="H85" s="21" t="str">
        <x:v>2.7</x:v>
      </x:c>
      <x:c r="I85" s="27" t="str">
        <x:v>3</x:v>
      </x:c>
      <x:c r="J85" s="15" t="str">
        <x:v>Xe máy</x:v>
      </x:c>
    </x:row>
    <x:row r="86">
      <x:c r="A86" s="15" t="str">
        <x:v>Lê Thị An</x:v>
      </x:c>
      <x:c r="B86" s="15" t="str">
        <x:v>Nữ</x:v>
      </x:c>
      <x:c r="C86" s="15" t="str">
        <x:v>HS216910</x:v>
      </x:c>
      <x:c r="D86" s="15" t="str">
        <x:v>An toàn thông tin</x:v>
      </x:c>
      <x:c r="E86" s="15" t="str">
        <x:v>Dom D</x:v>
      </x:c>
      <x:c r="F86" s="15" t="str">
        <x:v>Ký túc xá</x:v>
      </x:c>
      <x:c r="G86" s="21" t="str">
        <x:v>0.4</x:v>
      </x:c>
      <x:c r="H86" s="21" t="str">
        <x:v>1.1</x:v>
      </x:c>
      <x:c r="I86" s="27" t="str">
        <x:v>4</x:v>
      </x:c>
      <x:c r="J86" s="15" t="str">
        <x:v>Đi bộ</x:v>
      </x:c>
    </x:row>
    <x:row r="87">
      <x:c r="A87" s="15" t="str">
        <x:v>Phạm Văn Bằng</x:v>
      </x:c>
      <x:c r="B87" s="15" t="str">
        <x:v>Nam</x:v>
      </x:c>
      <x:c r="C87" s="15" t="str">
        <x:v>HS210643</x:v>
      </x:c>
      <x:c r="D87" s="15" t="str">
        <x:v>An toàn thông tin</x:v>
      </x:c>
      <x:c r="E87" s="15" t="str">
        <x:v>Thạch Hòa</x:v>
      </x:c>
      <x:c r="F87" s="15" t="str">
        <x:v>Phòng trọ cơ bản</x:v>
      </x:c>
      <x:c r="G87" s="21" t="str">
        <x:v>3.0</x:v>
      </x:c>
      <x:c r="H87" s="21" t="str">
        <x:v>2.1</x:v>
      </x:c>
      <x:c r="I87" s="27" t="str">
        <x:v>1</x:v>
      </x:c>
      <x:c r="J87" s="15" t="str">
        <x:v>Xe máy</x:v>
      </x:c>
    </x:row>
    <x:row r="88">
      <x:c r="A88" s="15" t="str">
        <x:v>Vũ Thị Cảnh</x:v>
      </x:c>
      <x:c r="B88" s="15" t="str">
        <x:v>Nữ</x:v>
      </x:c>
      <x:c r="C88" s="15" t="str">
        <x:v>HC191272</x:v>
      </x:c>
      <x:c r="D88" s="15" t="str">
        <x:v>Thiết kế mỹ thuật số</x:v>
      </x:c>
      <x:c r="E88" s="15" t="str">
        <x:v>Hòa Lạc</x:v>
      </x:c>
      <x:c r="F88" s="15" t="str">
        <x:v>Phòng khép kín</x:v>
      </x:c>
      <x:c r="G88" s="21" t="str">
        <x:v>6.1</x:v>
      </x:c>
      <x:c r="H88" s="21" t="str">
        <x:v>1.7</x:v>
      </x:c>
      <x:c r="I88" s="27" t="str">
        <x:v>1</x:v>
      </x:c>
      <x:c r="J88" s="15" t="str">
        <x:v>Xe buýt</x:v>
      </x:c>
    </x:row>
    <x:row r="89">
      <x:c r="A89" s="15" t="str">
        <x:v>Hoàng Văn Đình</x:v>
      </x:c>
      <x:c r="B89" s="15" t="str">
        <x:v>Nam</x:v>
      </x:c>
      <x:c r="C89" s="15" t="str">
        <x:v>HE189144</x:v>
      </x:c>
      <x:c r="D89" s="15" t="str">
        <x:v>Công nghệ thông tin</x:v>
      </x:c>
      <x:c r="E89" s="15" t="str">
        <x:v>Tân Xã</x:v>
      </x:c>
      <x:c r="F89" s="15" t="str">
        <x:v>Phòng trọ cơ bản</x:v>
      </x:c>
      <x:c r="G89" s="21" t="str">
        <x:v>4.3</x:v>
      </x:c>
      <x:c r="H89" s="21" t="str">
        <x:v>2.3</x:v>
      </x:c>
      <x:c r="I89" s="27" t="str">
        <x:v>2</x:v>
      </x:c>
      <x:c r="J89" s="15" t="str">
        <x:v>Xe máy</x:v>
      </x:c>
    </x:row>
    <x:row r="90">
      <x:c r="A90" s="15" t="str">
        <x:v>Bùi Thị Nga</x:v>
      </x:c>
      <x:c r="B90" s="15" t="str">
        <x:v>Nữ</x:v>
      </x:c>
      <x:c r="C90" s="15" t="str">
        <x:v>HC209389</x:v>
      </x:c>
      <x:c r="D90" s="15" t="str">
        <x:v>Thiết kế mỹ thuật số</x:v>
      </x:c>
      <x:c r="E90" s="15" t="str">
        <x:v>Dom A</x:v>
      </x:c>
      <x:c r="F90" s="15" t="str">
        <x:v>Ký túc xá</x:v>
      </x:c>
      <x:c r="G90" s="21" t="str">
        <x:v>0.3</x:v>
      </x:c>
      <x:c r="H90" s="21" t="str">
        <x:v>1.1</x:v>
      </x:c>
      <x:c r="I90" s="27" t="str">
        <x:v>4</x:v>
      </x:c>
      <x:c r="J90" s="15" t="str">
        <x:v>Đi bộ</x:v>
      </x:c>
    </x:row>
    <x:row r="91">
      <x:c r="A91" s="15" t="str">
        <x:v>Nguyễn Văn Giao</x:v>
      </x:c>
      <x:c r="B91" s="15" t="str">
        <x:v>Nam</x:v>
      </x:c>
      <x:c r="C91" s="15" t="str">
        <x:v>HC215141</x:v>
      </x:c>
      <x:c r="D91" s="15" t="str">
        <x:v>Thiết kế mỹ thuật số</x:v>
      </x:c>
      <x:c r="E91" s="15" t="str">
        <x:v>Thạch Hòa</x:v>
      </x:c>
      <x:c r="F91" s="15" t="str">
        <x:v>Chung cư mini</x:v>
      </x:c>
      <x:c r="G91" s="21" t="str">
        <x:v>4.4</x:v>
      </x:c>
      <x:c r="H91" s="21" t="str">
        <x:v>2.6</x:v>
      </x:c>
      <x:c r="I91" s="27" t="str">
        <x:v>2</x:v>
      </x:c>
      <x:c r="J91" s="15" t="str">
        <x:v>Xe máy</x:v>
      </x:c>
    </x:row>
    <x:row r="92">
      <x:c r="A92" s="15" t="str">
        <x:v>Lê Thị Hạnh</x:v>
      </x:c>
      <x:c r="B92" s="15" t="str">
        <x:v>Nữ</x:v>
      </x:c>
      <x:c r="C92" s="15" t="str">
        <x:v>HC185573</x:v>
      </x:c>
      <x:c r="D92" s="15" t="str">
        <x:v>Thiết kế mỹ thuật số</x:v>
      </x:c>
      <x:c r="E92" s="15" t="str">
        <x:v>Hòa Lạc</x:v>
      </x:c>
      <x:c r="F92" s="15" t="str">
        <x:v>Phòng khép kín</x:v>
      </x:c>
      <x:c r="G92" s="21" t="str">
        <x:v>5.6</x:v>
      </x:c>
      <x:c r="H92" s="21" t="str">
        <x:v>1.9</x:v>
      </x:c>
      <x:c r="I92" s="27" t="str">
        <x:v>1</x:v>
      </x:c>
      <x:c r="J92" s="15" t="str">
        <x:v>Xe buýt</x:v>
      </x:c>
    </x:row>
    <x:row r="93">
      <x:c r="A93" s="15" t="str">
        <x:v>Trần Văn Bình</x:v>
      </x:c>
      <x:c r="B93" s="15" t="str">
        <x:v>Nam</x:v>
      </x:c>
      <x:c r="C93" s="15" t="str">
        <x:v>HE185738</x:v>
      </x:c>
      <x:c r="D93" s="15" t="str">
        <x:v>Công nghệ thông tin</x:v>
      </x:c>
      <x:c r="E93" s="15" t="str">
        <x:v>Tân Xã</x:v>
      </x:c>
      <x:c r="F93" s="15" t="str">
        <x:v>Phòng trọ cơ bản</x:v>
      </x:c>
      <x:c r="G93" s="21" t="str">
        <x:v>3.1</x:v>
      </x:c>
      <x:c r="H93" s="21" t="str">
        <x:v>2.2</x:v>
      </x:c>
      <x:c r="I93" s="27" t="str">
        <x:v>1</x:v>
      </x:c>
      <x:c r="J93" s="15" t="str">
        <x:v>Xe máy</x:v>
      </x:c>
    </x:row>
    <x:row r="94">
      <x:c r="A94" s="15" t="str">
        <x:v>Phạm Thị Khánh</x:v>
      </x:c>
      <x:c r="B94" s="15" t="str">
        <x:v>Nữ</x:v>
      </x:c>
      <x:c r="C94" s="15" t="str">
        <x:v>HC209739</x:v>
      </x:c>
      <x:c r="D94" s="15" t="str">
        <x:v>Thiết kế mỹ thuật số</x:v>
      </x:c>
      <x:c r="E94" s="15" t="str">
        <x:v>Dom B</x:v>
      </x:c>
      <x:c r="F94" s="15" t="str">
        <x:v>Ký túc xá</x:v>
      </x:c>
      <x:c r="G94" s="21" t="str">
        <x:v>0.2</x:v>
      </x:c>
      <x:c r="H94" s="21" t="str">
        <x:v>1.1</x:v>
      </x:c>
      <x:c r="I94" s="27" t="str">
        <x:v>4</x:v>
      </x:c>
      <x:c r="J94" s="15" t="str">
        <x:v>Đi bộ</x:v>
      </x:c>
    </x:row>
    <x:row r="95">
      <x:c r="A95" s="15" t="str">
        <x:v>Vũ Văn Lâm</x:v>
      </x:c>
      <x:c r="B95" s="15" t="str">
        <x:v>Nam</x:v>
      </x:c>
      <x:c r="C95" s="15" t="str">
        <x:v>HE198138</x:v>
      </x:c>
      <x:c r="D95" s="15" t="str">
        <x:v>Công nghệ thông tin</x:v>
      </x:c>
      <x:c r="E95" s="15" t="str">
        <x:v>Thạch Hòa</x:v>
      </x:c>
      <x:c r="F95" s="15" t="str">
        <x:v>Chung cư mini</x:v>
      </x:c>
      <x:c r="G95" s="21" t="str">
        <x:v>3.2</x:v>
      </x:c>
      <x:c r="H95" s="21" t="str">
        <x:v>2.7</x:v>
      </x:c>
      <x:c r="I95" s="27" t="str">
        <x:v>2</x:v>
      </x:c>
      <x:c r="J95" s="15" t="str">
        <x:v>Xe máy</x:v>
      </x:c>
    </x:row>
    <x:row r="96">
      <x:c r="A96" s="15" t="str">
        <x:v>Hoàng Thị Như</x:v>
      </x:c>
      <x:c r="B96" s="15" t="str">
        <x:v>Nữ</x:v>
      </x:c>
      <x:c r="C96" s="15" t="str">
        <x:v>HS199502</x:v>
      </x:c>
      <x:c r="D96" s="15" t="str">
        <x:v>An toàn thông tin</x:v>
      </x:c>
      <x:c r="E96" s="15" t="str">
        <x:v>Hòa Lạc</x:v>
      </x:c>
      <x:c r="F96" s="15" t="str">
        <x:v>Phòng khép kín</x:v>
      </x:c>
      <x:c r="G96" s="21" t="str">
        <x:v>7.1</x:v>
      </x:c>
      <x:c r="H96" s="21" t="str">
        <x:v>1.4</x:v>
      </x:c>
      <x:c r="I96" s="27" t="str">
        <x:v>2</x:v>
      </x:c>
      <x:c r="J96" s="15" t="str">
        <x:v>Xe buýt</x:v>
      </x:c>
    </x:row>
    <x:row r="97">
      <x:c r="A97" s="15" t="str">
        <x:v>Bùi Văn Oanh</x:v>
      </x:c>
      <x:c r="B97" s="15" t="str">
        <x:v>Nam</x:v>
      </x:c>
      <x:c r="C97" s="15" t="str">
        <x:v>HC197475</x:v>
      </x:c>
      <x:c r="D97" s="15" t="str">
        <x:v>Thiết kế mỹ thuật số</x:v>
      </x:c>
      <x:c r="E97" s="15" t="str">
        <x:v>Tân Xã</x:v>
      </x:c>
      <x:c r="F97" s="15" t="str">
        <x:v>Phòng trọ cơ bản</x:v>
      </x:c>
      <x:c r="G97" s="21" t="str">
        <x:v>2.7</x:v>
      </x:c>
      <x:c r="H97" s="21" t="str">
        <x:v>1.9</x:v>
      </x:c>
      <x:c r="I97" s="27" t="str">
        <x:v>2</x:v>
      </x:c>
      <x:c r="J97" s="15" t="str">
        <x:v>Xe máy</x:v>
      </x:c>
    </x:row>
    <x:row r="98">
      <x:c r="A98" s="15" t="str">
        <x:v>Nguyễn Thị Phúc</x:v>
      </x:c>
      <x:c r="B98" s="15" t="str">
        <x:v>Nữ</x:v>
      </x:c>
      <x:c r="C98" s="15" t="str">
        <x:v>HC191127</x:v>
      </x:c>
      <x:c r="D98" s="15" t="str">
        <x:v>Thiết kế mỹ thuật số</x:v>
      </x:c>
      <x:c r="E98" s="15" t="str">
        <x:v>Dom C</x:v>
      </x:c>
      <x:c r="F98" s="15" t="str">
        <x:v>Ký túc xá</x:v>
      </x:c>
      <x:c r="G98" s="21" t="str">
        <x:v>0.7</x:v>
      </x:c>
      <x:c r="H98" s="21" t="str">
        <x:v>1.1</x:v>
      </x:c>
      <x:c r="I98" s="27" t="str">
        <x:v>4</x:v>
      </x:c>
      <x:c r="J98" s="15" t="str">
        <x:v>Đi bộ</x:v>
      </x:c>
    </x:row>
    <x:row r="99">
      <x:c r="A99" s="15" t="str">
        <x:v>Lê Văn Quân</x:v>
      </x:c>
      <x:c r="B99" s="15" t="str">
        <x:v>Nam</x:v>
      </x:c>
      <x:c r="C99" s="15" t="str">
        <x:v>HA211534</x:v>
      </x:c>
      <x:c r="D99" s="15" t="str">
        <x:v>Quản trị kinh doanh</x:v>
      </x:c>
      <x:c r="E99" s="15" t="str">
        <x:v>Thạch Hòa</x:v>
      </x:c>
      <x:c r="F99" s="15" t="str">
        <x:v>Phòng trọ cơ bản</x:v>
      </x:c>
      <x:c r="G99" s="21" t="str">
        <x:v>2.8</x:v>
      </x:c>
      <x:c r="H99" s="21" t="str">
        <x:v>2.3</x:v>
      </x:c>
      <x:c r="I99" s="27" t="str">
        <x:v>2</x:v>
      </x:c>
      <x:c r="J99" s="15" t="str">
        <x:v>Xe máy</x:v>
      </x:c>
    </x:row>
    <x:row r="100">
      <x:c r="A100" s="15" t="str">
        <x:v>Phan Thị Trinh</x:v>
      </x:c>
      <x:c r="B100" s="15" t="str">
        <x:v>Nữ</x:v>
      </x:c>
      <x:c r="C100" s="15" t="str">
        <x:v>HS184423</x:v>
      </x:c>
      <x:c r="D100" s="15" t="str">
        <x:v>An toàn thông tin</x:v>
      </x:c>
      <x:c r="E100" s="15" t="str">
        <x:v>Hòa Lạc</x:v>
      </x:c>
      <x:c r="F100" s="15" t="str">
        <x:v>Phòng khép kín</x:v>
      </x:c>
      <x:c r="G100" s="21" t="str">
        <x:v>4.7</x:v>
      </x:c>
      <x:c r="H100" s="21" t="str">
        <x:v>1.9</x:v>
      </x:c>
      <x:c r="I100" s="27" t="str">
        <x:v>2</x:v>
      </x:c>
      <x:c r="J100" s="15" t="str">
        <x:v>Xe buýt</x:v>
      </x:c>
    </x:row>
    <x:row r="101">
      <x:c r="A101" s="15" t="str">
        <x:v>Trần Văn Sơn</x:v>
      </x:c>
      <x:c r="B101" s="15" t="str">
        <x:v>Nam</x:v>
      </x:c>
      <x:c r="C101" s="15" t="str">
        <x:v>HC187768</x:v>
      </x:c>
      <x:c r="D101" s="15" t="str">
        <x:v>Thiết kế mỹ thuật số</x:v>
      </x:c>
      <x:c r="E101" s="15" t="str">
        <x:v>Tân Xã</x:v>
      </x:c>
      <x:c r="F101" s="15" t="str">
        <x:v>Phòng trọ cơ bản</x:v>
      </x:c>
      <x:c r="G101" s="21" t="str">
        <x:v>3.7</x:v>
      </x:c>
      <x:c r="H101" s="21" t="str">
        <x:v>2.0</x:v>
      </x:c>
      <x:c r="I101" s="27" t="str">
        <x:v>1</x:v>
      </x:c>
      <x:c r="J101" s="15" t="str">
        <x:v>Xe máy</x:v>
      </x:c>
    </x:row>
    <x:row r="102">
      <x:c r="A102" s="15" t="str">
        <x:v>Ngô Thị Yến</x:v>
      </x:c>
      <x:c r="B102" s="15" t="str">
        <x:v>Nữ</x:v>
      </x:c>
      <x:c r="C102" s="15" t="str">
        <x:v>HE181065</x:v>
      </x:c>
      <x:c r="D102" s="15" t="str">
        <x:v>Công nghệ thông tin</x:v>
      </x:c>
      <x:c r="E102" s="15" t="str">
        <x:v>Dom A</x:v>
      </x:c>
      <x:c r="F102" s="15" t="str">
        <x:v>Ký túc xá</x:v>
      </x:c>
      <x:c r="G102" s="21" t="str">
        <x:v>0.2</x:v>
      </x:c>
      <x:c r="H102" s="21" t="str">
        <x:v>0.8</x:v>
      </x:c>
      <x:c r="I102" s="27" t="str">
        <x:v>6</x:v>
      </x:c>
      <x:c r="J102" s="15" t="str">
        <x:v>Đi bộ</x:v>
      </x:c>
    </x:row>
    <x:row r="103">
      <x:c r="A103" s="15" t="str">
        <x:v>Đặng Văn Phúc</x:v>
      </x:c>
      <x:c r="B103" s="15" t="str">
        <x:v>Nam</x:v>
      </x:c>
      <x:c r="C103" s="15" t="str">
        <x:v>HE190995</x:v>
      </x:c>
      <x:c r="D103" s="15" t="str">
        <x:v>Công nghệ thông tin</x:v>
      </x:c>
      <x:c r="E103" s="15" t="str">
        <x:v>Dom B</x:v>
      </x:c>
      <x:c r="F103" s="15" t="str">
        <x:v>Ký túc xá</x:v>
      </x:c>
      <x:c r="G103" s="21" t="str">
        <x:v>0.3</x:v>
      </x:c>
      <x:c r="H103" s="21" t="str">
        <x:v>0.8</x:v>
      </x:c>
      <x:c r="I103" s="27" t="str">
        <x:v>6</x:v>
      </x:c>
      <x:c r="J103" s="15" t="str">
        <x:v>Đi bộ</x:v>
      </x:c>
    </x:row>
    <x:row r="104">
      <x:c r="A104" s="15" t="str">
        <x:v>Vũ Thị Hà</x:v>
      </x:c>
      <x:c r="B104" s="15" t="str">
        <x:v>Nữ</x:v>
      </x:c>
      <x:c r="C104" s="15" t="str">
        <x:v>HS215073</x:v>
      </x:c>
      <x:c r="D104" s="15" t="str">
        <x:v>An toàn thông tin</x:v>
      </x:c>
      <x:c r="E104" s="15" t="str">
        <x:v>Dom C</x:v>
      </x:c>
      <x:c r="F104" s="15" t="str">
        <x:v>Ký túc xá</x:v>
      </x:c>
      <x:c r="G104" s="21" t="str">
        <x:v>0.4</x:v>
      </x:c>
      <x:c r="H104" s="21" t="str">
        <x:v>0.8</x:v>
      </x:c>
      <x:c r="I104" s="27" t="str">
        <x:v>6</x:v>
      </x:c>
      <x:c r="J104" s="15" t="str">
        <x:v>Đi bộ</x:v>
      </x:c>
    </x:row>
    <x:row r="105">
      <x:c r="A105" s="15" t="str">
        <x:v>Trịnh Văn Đức</x:v>
      </x:c>
      <x:c r="B105" s="15" t="str">
        <x:v>Nam</x:v>
      </x:c>
      <x:c r="C105" s="15" t="str">
        <x:v>HC219470</x:v>
      </x:c>
      <x:c r="D105" s="15" t="str">
        <x:v>Thiết kế mỹ thuật số</x:v>
      </x:c>
      <x:c r="E105" s="15" t="str">
        <x:v>Dom D</x:v>
      </x:c>
      <x:c r="F105" s="15" t="str">
        <x:v>Ký túc xá</x:v>
      </x:c>
      <x:c r="G105" s="21" t="str">
        <x:v>0.5</x:v>
      </x:c>
      <x:c r="H105" s="21" t="str">
        <x:v>0.8</x:v>
      </x:c>
      <x:c r="I105" s="27" t="str">
        <x:v>6</x:v>
      </x:c>
      <x:c r="J105" s="15" t="str">
        <x:v>Đi bộ</x:v>
      </x:c>
    </x:row>
    <x:row r="106">
      <x:c r="A106" s="15" t="str">
        <x:v>Dương Bích Bình</x:v>
      </x:c>
      <x:c r="B106" s="15" t="str">
        <x:v>Nữ</x:v>
      </x:c>
      <x:c r="C106" s="15" t="str">
        <x:v>HE186023</x:v>
      </x:c>
      <x:c r="D106" s="15" t="str">
        <x:v>Công nghệ thông tin</x:v>
      </x:c>
      <x:c r="E106" s="15" t="str">
        <x:v>Tân Xã</x:v>
      </x:c>
      <x:c r="F106" s="15" t="str">
        <x:v>Phòng khép kín</x:v>
      </x:c>
      <x:c r="G106" s="21" t="str">
        <x:v>3.0</x:v>
      </x:c>
      <x:c r="H106" s="21" t="str">
        <x:v>2.5</x:v>
      </x:c>
      <x:c r="I106" s="27" t="str">
        <x:v>1</x:v>
      </x:c>
      <x:c r="J106" s="15" t="str">
        <x:v>Xe máy</x:v>
      </x:c>
    </x:row>
    <x:row r="107">
      <x:c r="A107" s="15" t="str">
        <x:v>Hoàng Văn Khang</x:v>
      </x:c>
      <x:c r="B107" s="15" t="str">
        <x:v>Nam</x:v>
      </x:c>
      <x:c r="C107" s="15" t="str">
        <x:v>HE202594</x:v>
      </x:c>
      <x:c r="D107" s="15" t="str">
        <x:v>Công nghệ thông tin</x:v>
      </x:c>
      <x:c r="E107" s="15" t="str">
        <x:v>Tân Xã</x:v>
      </x:c>
      <x:c r="F107" s="15" t="str">
        <x:v>Phòng trọ cơ bản</x:v>
      </x:c>
      <x:c r="G107" s="21" t="str">
        <x:v>3.5</x:v>
      </x:c>
      <x:c r="H107" s="21" t="str">
        <x:v>2.7</x:v>
      </x:c>
      <x:c r="I107" s="27" t="str">
        <x:v>2</x:v>
      </x:c>
      <x:c r="J107" s="15" t="str">
        <x:v>Xe máy</x:v>
      </x:c>
    </x:row>
    <x:row r="108">
      <x:c r="A108" s="15" t="str">
        <x:v>Dương Kim Dung</x:v>
      </x:c>
      <x:c r="B108" s="15" t="str">
        <x:v>Nữ</x:v>
      </x:c>
      <x:c r="C108" s="15" t="str">
        <x:v>HE190492</x:v>
      </x:c>
      <x:c r="D108" s="15" t="str">
        <x:v>Công nghệ thông tin</x:v>
      </x:c>
      <x:c r="E108" s="15" t="str">
        <x:v>Tân Xã</x:v>
      </x:c>
      <x:c r="F108" s="15" t="str">
        <x:v>Chung cư mini</x:v>
      </x:c>
      <x:c r="G108" s="21" t="str">
        <x:v>2.3</x:v>
      </x:c>
      <x:c r="H108" s="21" t="str">
        <x:v>2.7</x:v>
      </x:c>
      <x:c r="I108" s="27" t="str">
        <x:v>2</x:v>
      </x:c>
      <x:c r="J108" s="15" t="str">
        <x:v>Xe máy</x:v>
      </x:c>
    </x:row>
    <x:row r="109">
      <x:c r="A109" s="15" t="str">
        <x:v>Đoàn Quang Khang</x:v>
      </x:c>
      <x:c r="B109" s="15" t="str">
        <x:v>Nam</x:v>
      </x:c>
      <x:c r="C109" s="15" t="str">
        <x:v>HE210990</x:v>
      </x:c>
      <x:c r="D109" s="15" t="str">
        <x:v>Công nghệ thông tin</x:v>
      </x:c>
      <x:c r="E109" s="15" t="str">
        <x:v>Tân Xã</x:v>
      </x:c>
      <x:c r="F109" s="15" t="str">
        <x:v>Phòng trọ cơ bản</x:v>
      </x:c>
      <x:c r="G109" s="21" t="str">
        <x:v>2.0</x:v>
      </x:c>
      <x:c r="H109" s="21" t="str">
        <x:v>1.5</x:v>
      </x:c>
      <x:c r="I109" s="27" t="str">
        <x:v>2</x:v>
      </x:c>
      <x:c r="J109" s="15" t="str">
        <x:v>Xe máy</x:v>
      </x:c>
    </x:row>
    <x:row r="110">
      <x:c r="A110" s="15" t="str">
        <x:v>Đoàn Kim Gấm</x:v>
      </x:c>
      <x:c r="B110" s="15" t="str">
        <x:v>Nữ</x:v>
      </x:c>
      <x:c r="C110" s="15" t="str">
        <x:v>HE217093</x:v>
      </x:c>
      <x:c r="D110" s="15" t="str">
        <x:v>Công nghệ thông tin</x:v>
      </x:c>
      <x:c r="E110" s="15" t="str">
        <x:v>Tân Xã</x:v>
      </x:c>
      <x:c r="F110" s="15" t="str">
        <x:v>Phòng trọ cơ bản</x:v>
      </x:c>
      <x:c r="G110" s="21" t="str">
        <x:v>2.0</x:v>
      </x:c>
      <x:c r="H110" s="21" t="str">
        <x:v>1.6</x:v>
      </x:c>
      <x:c r="I110" s="27" t="str">
        <x:v>1</x:v>
      </x:c>
      <x:c r="J110" s="15" t="str">
        <x:v>Xe máy</x:v>
      </x:c>
    </x:row>
    <x:row r="111">
      <x:c r="A111" s="15" t="str">
        <x:v>Phùng Thu Hạnh</x:v>
      </x:c>
      <x:c r="B111" s="15" t="str">
        <x:v>Nữ</x:v>
      </x:c>
      <x:c r="C111" s="15" t="str">
        <x:v>HS202230</x:v>
      </x:c>
      <x:c r="D111" s="15" t="str">
        <x:v>An toàn thông tin</x:v>
      </x:c>
      <x:c r="E111" s="15" t="str">
        <x:v>Tân Xã</x:v>
      </x:c>
      <x:c r="F111" s="15" t="str">
        <x:v>Phòng trọ cơ bản</x:v>
      </x:c>
      <x:c r="G111" s="21" t="str">
        <x:v>0.5</x:v>
      </x:c>
      <x:c r="H111" s="21" t="str">
        <x:v>1.6</x:v>
      </x:c>
      <x:c r="I111" s="27" t="str">
        <x:v>2</x:v>
      </x:c>
      <x:c r="J111" s="15" t="str">
        <x:v>Đi bộ</x:v>
      </x:c>
    </x:row>
    <x:row r="112">
      <x:c r="A112" s="15" t="str">
        <x:v>Phạm Kim Uyên</x:v>
      </x:c>
      <x:c r="B112" s="15" t="str">
        <x:v>Nữ</x:v>
      </x:c>
      <x:c r="C112" s="15" t="str">
        <x:v>HS217411</x:v>
      </x:c>
      <x:c r="D112" s="15" t="str">
        <x:v>An toàn thông tin</x:v>
      </x:c>
      <x:c r="E112" s="15" t="str">
        <x:v>Tân Xã</x:v>
      </x:c>
      <x:c r="F112" s="15" t="str">
        <x:v>Phòng trọ cơ bản</x:v>
      </x:c>
      <x:c r="G112" s="21" t="str">
        <x:v>2.2</x:v>
      </x:c>
      <x:c r="H112" s="21" t="str">
        <x:v>1.9</x:v>
      </x:c>
      <x:c r="I112" s="27" t="str">
        <x:v>1</x:v>
      </x:c>
      <x:c r="J112" s="15" t="str">
        <x:v>Xe máy</x:v>
      </x:c>
    </x:row>
    <x:row r="113">
      <x:c r="A113" s="15" t="str">
        <x:v>Hoàng Hồng Đào</x:v>
      </x:c>
      <x:c r="B113" s="15" t="str">
        <x:v>Nữ</x:v>
      </x:c>
      <x:c r="C113" s="15" t="str">
        <x:v>HA184604</x:v>
      </x:c>
      <x:c r="D113" s="15" t="str">
        <x:v>Quản trị kinh doanh</x:v>
      </x:c>
      <x:c r="E113" s="15" t="str">
        <x:v>Tân Xã</x:v>
      </x:c>
      <x:c r="F113" s="15" t="str">
        <x:v>Chung cư mini/Studio</x:v>
      </x:c>
      <x:c r="G113" s="21" t="str">
        <x:v>2.8</x:v>
      </x:c>
      <x:c r="H113" s="21" t="str">
        <x:v>2.8</x:v>
      </x:c>
      <x:c r="I113" s="27" t="str">
        <x:v>2</x:v>
      </x:c>
      <x:c r="J113" s="15" t="str">
        <x:v>Xe máy</x:v>
      </x:c>
    </x:row>
    <x:row r="114">
      <x:c r="A114" s="15" t="str">
        <x:v>Nguyễn Quang Long</x:v>
      </x:c>
      <x:c r="B114" s="15" t="str">
        <x:v>Nam</x:v>
      </x:c>
      <x:c r="C114" s="15" t="str">
        <x:v>HE215088</x:v>
      </x:c>
      <x:c r="D114" s="15" t="str">
        <x:v>Công nghệ thông tin</x:v>
      </x:c>
      <x:c r="E114" s="15" t="str">
        <x:v>Tân Xã</x:v>
      </x:c>
      <x:c r="F114" s="15" t="str">
        <x:v>Phòng trọ cơ bản</x:v>
      </x:c>
      <x:c r="G114" s="21" t="str">
        <x:v>3.2</x:v>
      </x:c>
      <x:c r="H114" s="21" t="str">
        <x:v>2.0</x:v>
      </x:c>
      <x:c r="I114" s="27" t="str">
        <x:v>2</x:v>
      </x:c>
      <x:c r="J114" s="15" t="str">
        <x:v>Xe máy</x:v>
      </x:c>
    </x:row>
    <x:row r="115">
      <x:c r="A115" s="15" t="str">
        <x:v>Trần Quang Nam</x:v>
      </x:c>
      <x:c r="B115" s="15" t="str">
        <x:v>Nam</x:v>
      </x:c>
      <x:c r="C115" s="15" t="str">
        <x:v>HC208881</x:v>
      </x:c>
      <x:c r="D115" s="15" t="str">
        <x:v>Thiết kế mỹ thuật số</x:v>
      </x:c>
      <x:c r="E115" s="15" t="str">
        <x:v>Thạch Hòa</x:v>
      </x:c>
      <x:c r="F115" s="15" t="str">
        <x:v>Phòng trọ cơ bản</x:v>
      </x:c>
      <x:c r="G115" s="21" t="str">
        <x:v>2.6</x:v>
      </x:c>
      <x:c r="H115" s="21" t="str">
        <x:v>2.3</x:v>
      </x:c>
      <x:c r="I115" s="27" t="str">
        <x:v>2</x:v>
      </x:c>
      <x:c r="J115" s="15" t="str">
        <x:v>Xe máy</x:v>
      </x:c>
    </x:row>
    <x:row r="116">
      <x:c r="A116" s="15" t="str">
        <x:v>Bùi Hữu Lâm</x:v>
      </x:c>
      <x:c r="B116" s="15" t="str">
        <x:v>Nam</x:v>
      </x:c>
      <x:c r="C116" s="15" t="str">
        <x:v>HE188935</x:v>
      </x:c>
      <x:c r="D116" s="15" t="str">
        <x:v>Công nghệ thông tin</x:v>
      </x:c>
      <x:c r="E116" s="15" t="str">
        <x:v>Thạch Hòa</x:v>
      </x:c>
      <x:c r="F116" s="15" t="str">
        <x:v>Chung cư mini</x:v>
      </x:c>
      <x:c r="G116" s="21" t="str">
        <x:v>3.0</x:v>
      </x:c>
      <x:c r="H116" s="21" t="str">
        <x:v>3.0</x:v>
      </x:c>
      <x:c r="I116" s="27" t="str">
        <x:v>2</x:v>
      </x:c>
      <x:c r="J116" s="15" t="str">
        <x:v>Xe máy</x:v>
      </x:c>
    </x:row>
    <x:row r="117">
      <x:c r="A117" s="15" t="str">
        <x:v>Vũ Xuân Hải</x:v>
      </x:c>
      <x:c r="B117" s="15" t="str">
        <x:v>Nam</x:v>
      </x:c>
      <x:c r="C117" s="15" t="str">
        <x:v>HE217469</x:v>
      </x:c>
      <x:c r="D117" s="15" t="str">
        <x:v>Công nghệ thông tin</x:v>
      </x:c>
      <x:c r="E117" s="15" t="str">
        <x:v>Thạch Hòa</x:v>
      </x:c>
      <x:c r="F117" s="15" t="str">
        <x:v>Phòng trọ cơ bản</x:v>
      </x:c>
      <x:c r="G117" s="21" t="str">
        <x:v>3.3</x:v>
      </x:c>
      <x:c r="H117" s="21" t="str">
        <x:v>2.2</x:v>
      </x:c>
      <x:c r="I117" s="27" t="str">
        <x:v>1</x:v>
      </x:c>
      <x:c r="J117" s="15" t="str">
        <x:v>Xe máy</x:v>
      </x:c>
    </x:row>
    <x:row r="118">
      <x:c r="A118" s="15" t="str">
        <x:v>Nguyễn Văn Hùng</x:v>
      </x:c>
      <x:c r="B118" s="15" t="str">
        <x:v>Nam</x:v>
      </x:c>
      <x:c r="C118" s="15" t="str">
        <x:v>HS196431</x:v>
      </x:c>
      <x:c r="D118" s="15" t="str">
        <x:v>An toàn thông tin</x:v>
      </x:c>
      <x:c r="E118" s="15" t="str">
        <x:v>Thạch Hòa</x:v>
      </x:c>
      <x:c r="F118" s="15" t="str">
        <x:v>Chung cư mini</x:v>
      </x:c>
      <x:c r="G118" s="21" t="str">
        <x:v>3.6</x:v>
      </x:c>
      <x:c r="H118" s="21" t="str">
        <x:v>2.9</x:v>
      </x:c>
      <x:c r="I118" s="27" t="str">
        <x:v>2</x:v>
      </x:c>
      <x:c r="J118" s="15" t="str">
        <x:v>Xe máy</x:v>
      </x:c>
    </x:row>
    <x:row r="119">
      <x:c r="A119" s="15" t="str">
        <x:v>Phùng Mỹ Khánh</x:v>
      </x:c>
      <x:c r="B119" s="15" t="str">
        <x:v>Nữ</x:v>
      </x:c>
      <x:c r="C119" s="15" t="str">
        <x:v>HS204692</x:v>
      </x:c>
      <x:c r="D119" s="15" t="str">
        <x:v>An toàn thông tin</x:v>
      </x:c>
      <x:c r="E119" s="15" t="str">
        <x:v>Thạch Hòa</x:v>
      </x:c>
      <x:c r="F119" s="15" t="str">
        <x:v>Phòng trọ cơ bản</x:v>
      </x:c>
      <x:c r="G119" s="21" t="str">
        <x:v>3.9</x:v>
      </x:c>
      <x:c r="H119" s="21" t="str">
        <x:v>1.9</x:v>
      </x:c>
      <x:c r="I119" s="27" t="str">
        <x:v>2</x:v>
      </x:c>
      <x:c r="J119" s="15" t="str">
        <x:v>Xe máy</x:v>
      </x:c>
    </x:row>
    <x:row r="120">
      <x:c r="A120" s="15" t="str">
        <x:v>Hoàng Thu Kiều</x:v>
      </x:c>
      <x:c r="B120" s="15" t="str">
        <x:v>Nữ</x:v>
      </x:c>
      <x:c r="C120" s="15" t="str">
        <x:v>HE201633</x:v>
      </x:c>
      <x:c r="D120" s="15" t="str">
        <x:v>Công nghệ thông tin</x:v>
      </x:c>
      <x:c r="E120" s="15" t="str">
        <x:v>Thạch Hòa</x:v>
      </x:c>
      <x:c r="F120" s="15" t="str">
        <x:v>Chung cư mini</x:v>
      </x:c>
      <x:c r="G120" s="21" t="str">
        <x:v>4.2</x:v>
      </x:c>
      <x:c r="H120" s="21" t="str">
        <x:v>2.8</x:v>
      </x:c>
      <x:c r="I120" s="27" t="str">
        <x:v>2</x:v>
      </x:c>
      <x:c r="J120" s="15" t="str">
        <x:v>Xe máy</x:v>
      </x:c>
    </x:row>
    <x:row r="121">
      <x:c r="A121" s="15" t="str">
        <x:v>Ngô Thị Vy</x:v>
      </x:c>
      <x:c r="B121" s="15" t="str">
        <x:v>Nữ</x:v>
      </x:c>
      <x:c r="C121" s="15" t="str">
        <x:v>HE213512</x:v>
      </x:c>
      <x:c r="D121" s="15" t="str">
        <x:v>Công nghệ thông tin</x:v>
      </x:c>
      <x:c r="E121" s="15" t="str">
        <x:v>Thạch Hòa</x:v>
      </x:c>
      <x:c r="F121" s="15" t="str">
        <x:v>Phòng trọ cơ bản</x:v>
      </x:c>
      <x:c r="G121" s="21" t="str">
        <x:v>4.5</x:v>
      </x:c>
      <x:c r="H121" s="21" t="str">
        <x:v>2.0</x:v>
      </x:c>
      <x:c r="I121" s="27" t="str">
        <x:v>1</x:v>
      </x:c>
      <x:c r="J121" s="15" t="str">
        <x:v>Xe máy</x:v>
      </x:c>
    </x:row>
    <x:row r="122">
      <x:c r="A122" s="15" t="str">
        <x:v>Phùng Văn Sơn</x:v>
      </x:c>
      <x:c r="B122" s="15" t="str">
        <x:v>Nam</x:v>
      </x:c>
      <x:c r="C122" s="15" t="str">
        <x:v>HS210790</x:v>
      </x:c>
      <x:c r="D122" s="15" t="str">
        <x:v>An toàn thông tin</x:v>
      </x:c>
      <x:c r="E122" s="15" t="str">
        <x:v>Thạch Hòa</x:v>
      </x:c>
      <x:c r="F122" s="15" t="str">
        <x:v>Phòng trọ cơ bản</x:v>
      </x:c>
      <x:c r="G122" s="21" t="str">
        <x:v>4.8</x:v>
      </x:c>
      <x:c r="H122" s="21" t="str">
        <x:v>1.8</x:v>
      </x:c>
      <x:c r="I122" s="27" t="str">
        <x:v>1</x:v>
      </x:c>
      <x:c r="J122" s="15" t="str">
        <x:v>Xe máy</x:v>
      </x:c>
    </x:row>
    <x:row r="123">
      <x:c r="A123" s="15" t="str">
        <x:v>Hồ Công Minh</x:v>
      </x:c>
      <x:c r="B123" s="15" t="str">
        <x:v>Nam</x:v>
      </x:c>
      <x:c r="C123" s="15" t="str">
        <x:v>HA215944</x:v>
      </x:c>
      <x:c r="D123" s="15" t="str">
        <x:v>Quản trị kinh doanh</x:v>
      </x:c>
      <x:c r="E123" s="15" t="str">
        <x:v>Hòa Lạc</x:v>
      </x:c>
      <x:c r="F123" s="15" t="str">
        <x:v>Phòng khép kín</x:v>
      </x:c>
      <x:c r="G123" s="21" t="str">
        <x:v>5.4</x:v>
      </x:c>
      <x:c r="H123" s="21" t="str">
        <x:v>1.9</x:v>
      </x:c>
      <x:c r="I123" s="27" t="str">
        <x:v>2</x:v>
      </x:c>
      <x:c r="J123" s="15" t="str">
        <x:v>Xe buýt</x:v>
      </x:c>
    </x:row>
    <x:row r="124">
      <x:c r="A124" s="15" t="str">
        <x:v>Đoàn Công Sơn</x:v>
      </x:c>
      <x:c r="B124" s="15" t="str">
        <x:v>Nam</x:v>
      </x:c>
      <x:c r="C124" s="15" t="str">
        <x:v>HE196273</x:v>
      </x:c>
      <x:c r="D124" s="15" t="str">
        <x:v>Công nghệ thông tin</x:v>
      </x:c>
      <x:c r="E124" s="15" t="str">
        <x:v>Hòa Lạc</x:v>
      </x:c>
      <x:c r="F124" s="15" t="str">
        <x:v>Phòng khép kín</x:v>
      </x:c>
      <x:c r="G124" s="21" t="str">
        <x:v>5.7</x:v>
      </x:c>
      <x:c r="H124" s="21" t="str">
        <x:v>1.6</x:v>
      </x:c>
      <x:c r="I124" s="27" t="str">
        <x:v>2</x:v>
      </x:c>
      <x:c r="J124" s="15" t="str">
        <x:v>Xe buýt</x:v>
      </x:c>
    </x:row>
    <x:row r="125">
      <x:c r="A125" s="15" t="str">
        <x:v>Dương Xuân Long</x:v>
      </x:c>
      <x:c r="B125" s="15" t="str">
        <x:v>Nam</x:v>
      </x:c>
      <x:c r="C125" s="15" t="str">
        <x:v>HC207439</x:v>
      </x:c>
      <x:c r="D125" s="15" t="str">
        <x:v>Thiết kế mỹ thuật số</x:v>
      </x:c>
      <x:c r="E125" s="15" t="str">
        <x:v>Hòa Lạc</x:v>
      </x:c>
      <x:c r="F125" s="15" t="str">
        <x:v>Phòng khép kín</x:v>
      </x:c>
      <x:c r="G125" s="21" t="str">
        <x:v>6.3</x:v>
      </x:c>
      <x:c r="H125" s="21" t="str">
        <x:v>1.5</x:v>
      </x:c>
      <x:c r="I125" s="27" t="str">
        <x:v>2</x:v>
      </x:c>
      <x:c r="J125" s="15" t="str">
        <x:v>Xe buýt</x:v>
      </x:c>
    </x:row>
    <x:row r="126">
      <x:c r="A126" s="15" t="str">
        <x:v>Vũ Kim Khánh</x:v>
      </x:c>
      <x:c r="B126" s="15" t="str">
        <x:v>Nữ</x:v>
      </x:c>
      <x:c r="C126" s="15" t="str">
        <x:v>HC196142</x:v>
      </x:c>
      <x:c r="D126" s="15" t="str">
        <x:v>Thiết kế mỹ thuật số</x:v>
      </x:c>
      <x:c r="E126" s="15" t="str">
        <x:v>Hòa Lạc</x:v>
      </x:c>
      <x:c r="F126" s="15" t="str">
        <x:v>Phòng khép kín</x:v>
      </x:c>
      <x:c r="G126" s="21" t="str">
        <x:v>6.6</x:v>
      </x:c>
      <x:c r="H126" s="21" t="str">
        <x:v>1.5</x:v>
      </x:c>
      <x:c r="I126" s="27" t="str">
        <x:v>1</x:v>
      </x:c>
      <x:c r="J126" s="15" t="str">
        <x:v>Xe buýt</x:v>
      </x:c>
    </x:row>
    <x:row r="127">
      <x:c r="A127" s="15" t="str">
        <x:v>Phạm Kim Khánh</x:v>
      </x:c>
      <x:c r="B127" s="15" t="str">
        <x:v>Nữ</x:v>
      </x:c>
      <x:c r="C127" s="15" t="str">
        <x:v>HS213758</x:v>
      </x:c>
      <x:c r="D127" s="15" t="str">
        <x:v>An toàn thông tin</x:v>
      </x:c>
      <x:c r="E127" s="15" t="str">
        <x:v>Hòa Lạc</x:v>
      </x:c>
      <x:c r="F127" s="15" t="str">
        <x:v>Phòng khép kín</x:v>
      </x:c>
      <x:c r="G127" s="21" t="str">
        <x:v>6.9</x:v>
      </x:c>
      <x:c r="H127" s="21" t="str">
        <x:v>1.5</x:v>
      </x:c>
      <x:c r="I127" s="27" t="str">
        <x:v>1</x:v>
      </x:c>
      <x:c r="J127" s="15" t="str">
        <x:v>Xe buýt</x:v>
      </x:c>
    </x:row>
    <x:row r="128">
      <x:c r="A128" s="15" t="str">
        <x:v>Phùng Thị Tú</x:v>
      </x:c>
      <x:c r="B128" s="15" t="str">
        <x:v>Nữ</x:v>
      </x:c>
      <x:c r="C128" s="15" t="str">
        <x:v>HS200047</x:v>
      </x:c>
      <x:c r="D128" s="15" t="str">
        <x:v>An toàn thông tin</x:v>
      </x:c>
      <x:c r="E128" s="15" t="str">
        <x:v>Hòa Lạc</x:v>
      </x:c>
      <x:c r="F128" s="15" t="str">
        <x:v>Phòng khép kín</x:v>
      </x:c>
      <x:c r="G128" s="21" t="str">
        <x:v>7.4</x:v>
      </x:c>
      <x:c r="H128" s="21" t="str">
        <x:v>1.4</x:v>
      </x:c>
      <x:c r="I128" s="27" t="str">
        <x:v>1</x:v>
      </x:c>
      <x:c r="J128" s="15" t="str">
        <x:v>Xe buýt</x:v>
      </x:c>
    </x:row>
    <x:row r="129">
      <x:c r="A129" s="15" t="str">
        <x:v>Hoàng Kim Hạnh</x:v>
      </x:c>
      <x:c r="B129" s="15" t="str">
        <x:v>Nữ</x:v>
      </x:c>
      <x:c r="C129" s="15" t="str">
        <x:v>HC211907</x:v>
      </x:c>
      <x:c r="D129" s="15" t="str">
        <x:v>Thiết kế mỹ thuật số</x:v>
      </x:c>
      <x:c r="E129" s="15" t="str">
        <x:v>Hòa Lạc</x:v>
      </x:c>
      <x:c r="F129" s="15" t="str">
        <x:v>Phòng khép kín</x:v>
      </x:c>
      <x:c r="G129" s="21" t="str">
        <x:v>7.9</x:v>
      </x:c>
      <x:c r="H129" s="21" t="str">
        <x:v>1.3</x:v>
      </x:c>
      <x:c r="I129" s="27" t="str">
        <x:v>1</x:v>
      </x:c>
      <x:c r="J129" s="15" t="str">
        <x:v>Xe buýt</x:v>
      </x:c>
    </x:row>
    <x:row r="130">
      <x:c r="A130" s="15" t="str">
        <x:v>Trịnh Hồng Linh</x:v>
      </x:c>
      <x:c r="B130" s="15" t="str">
        <x:v>Nữ</x:v>
      </x:c>
      <x:c r="C130" s="15" t="str">
        <x:v>HS219647</x:v>
      </x:c>
      <x:c r="D130" s="15" t="str">
        <x:v>An toàn thông tin</x:v>
      </x:c>
      <x:c r="E130" s="15" t="str">
        <x:v>Hòa Lạc</x:v>
      </x:c>
      <x:c r="F130" s="15" t="str">
        <x:v>Phòng khép kín</x:v>
      </x:c>
      <x:c r="G130" s="21" t="str">
        <x:v>8.7</x:v>
      </x:c>
      <x:c r="H130" s="21" t="str">
        <x:v>1.4</x:v>
      </x:c>
      <x:c r="I130" s="27" t="str">
        <x:v>1</x:v>
      </x:c>
      <x:c r="J130" s="15" t="str">
        <x:v>Xe buýt</x:v>
      </x:c>
    </x:row>
    <x:row r="131">
      <x:c r="A131" s="15" t="str">
        <x:v>Đặng Ngọc Tú</x:v>
      </x:c>
      <x:c r="B131" s="15" t="str">
        <x:v>Nữ</x:v>
      </x:c>
      <x:c r="C131" s="15" t="str">
        <x:v>HS218977</x:v>
      </x:c>
      <x:c r="D131" s="15" t="str">
        <x:v>An toàn thông tin</x:v>
      </x:c>
      <x:c r="E131" s="15" t="str">
        <x:v>Dom A</x:v>
      </x:c>
      <x:c r="F131" s="15" t="str">
        <x:v>Ký túc xá</x:v>
      </x:c>
      <x:c r="G131" s="21" t="str">
        <x:v>0.1</x:v>
      </x:c>
      <x:c r="H131" s="21" t="str">
        <x:v>1.1</x:v>
      </x:c>
      <x:c r="I131" s="27" t="str">
        <x:v>4</x:v>
      </x:c>
      <x:c r="J131" s="15" t="str">
        <x:v>Đi bộ</x:v>
      </x:c>
    </x:row>
    <x:row r="132">
      <x:c r="A132" s="15" t="str">
        <x:v>Đặng Quang Nam</x:v>
      </x:c>
      <x:c r="B132" s="15" t="str">
        <x:v>Nam</x:v>
      </x:c>
      <x:c r="C132" s="15" t="str">
        <x:v>HA197588</x:v>
      </x:c>
      <x:c r="D132" s="15" t="str">
        <x:v>Quản trị kinh doanh</x:v>
      </x:c>
      <x:c r="E132" s="15" t="str">
        <x:v>Dom A</x:v>
      </x:c>
      <x:c r="F132" s="15" t="str">
        <x:v>Ký túc xá</x:v>
      </x:c>
      <x:c r="G132" s="21" t="str">
        <x:v>0.5</x:v>
      </x:c>
      <x:c r="H132" s="21" t="str">
        <x:v>0.8</x:v>
      </x:c>
      <x:c r="I132" s="27" t="str">
        <x:v>6</x:v>
      </x:c>
      <x:c r="J132" s="15" t="str">
        <x:v>Đi bộ</x:v>
      </x:c>
    </x:row>
    <x:row r="133">
      <x:c r="A133" s="15" t="str">
        <x:v>Huỳnh Bích Quỳnh</x:v>
      </x:c>
      <x:c r="B133" s="15" t="str">
        <x:v>Nữ</x:v>
      </x:c>
      <x:c r="C133" s="15" t="str">
        <x:v>HE218352</x:v>
      </x:c>
      <x:c r="D133" s="15" t="str">
        <x:v>Công nghệ thông tin</x:v>
      </x:c>
      <x:c r="E133" s="15" t="str">
        <x:v>Dom B</x:v>
      </x:c>
      <x:c r="F133" s="15" t="str">
        <x:v>Ký túc xá</x:v>
      </x:c>
      <x:c r="G133" s="21" t="str">
        <x:v>0.1</x:v>
      </x:c>
      <x:c r="H133" s="21" t="str">
        <x:v>1.1</x:v>
      </x:c>
      <x:c r="I133" s="27" t="str">
        <x:v>4</x:v>
      </x:c>
      <x:c r="J133" s="15" t="str">
        <x:v>Đi bộ</x:v>
      </x:c>
    </x:row>
    <x:row r="134">
      <x:c r="A134" s="15" t="str">
        <x:v>Bùi Kim Kiều</x:v>
      </x:c>
      <x:c r="B134" s="15" t="str">
        <x:v>Nữ</x:v>
      </x:c>
      <x:c r="C134" s="15" t="str">
        <x:v>HE207121</x:v>
      </x:c>
      <x:c r="D134" s="15" t="str">
        <x:v>Công nghệ thông tin</x:v>
      </x:c>
      <x:c r="E134" s="15" t="str">
        <x:v>Dom B</x:v>
      </x:c>
      <x:c r="F134" s="15" t="str">
        <x:v>Ký túc xá</x:v>
      </x:c>
      <x:c r="G134" s="21" t="str">
        <x:v>0.5</x:v>
      </x:c>
      <x:c r="H134" s="21" t="str">
        <x:v>0.8</x:v>
      </x:c>
      <x:c r="I134" s="27" t="str">
        <x:v>6</x:v>
      </x:c>
      <x:c r="J134" s="15" t="str">
        <x:v>Đi bộ</x:v>
      </x:c>
    </x:row>
    <x:row r="135">
      <x:c r="A135" s="15" t="str">
        <x:v>Ngô Thị Ngân</x:v>
      </x:c>
      <x:c r="B135" s="15" t="str">
        <x:v>Nữ</x:v>
      </x:c>
      <x:c r="C135" s="15" t="str">
        <x:v>HA219049</x:v>
      </x:c>
      <x:c r="D135" s="15" t="str">
        <x:v>Quản trị kinh doanh</x:v>
      </x:c>
      <x:c r="E135" s="15" t="str">
        <x:v>Dom C</x:v>
      </x:c>
      <x:c r="F135" s="15" t="str">
        <x:v>Ký túc xá</x:v>
      </x:c>
      <x:c r="G135" s="21" t="str">
        <x:v>0.2</x:v>
      </x:c>
      <x:c r="H135" s="21" t="str">
        <x:v>1.1</x:v>
      </x:c>
      <x:c r="I135" s="27" t="str">
        <x:v>4</x:v>
      </x:c>
      <x:c r="J135" s="15" t="str">
        <x:v>Đi bộ</x:v>
      </x:c>
    </x:row>
    <x:row r="136">
      <x:c r="A136" s="15" t="str">
        <x:v>Trịnh Minh An</x:v>
      </x:c>
      <x:c r="B136" s="15" t="str">
        <x:v>Nam</x:v>
      </x:c>
      <x:c r="C136" s="15" t="str">
        <x:v>HC209294</x:v>
      </x:c>
      <x:c r="D136" s="15" t="str">
        <x:v>Thiết kế mỹ thuật số</x:v>
      </x:c>
      <x:c r="E136" s="15" t="str">
        <x:v>Dom C</x:v>
      </x:c>
      <x:c r="F136" s="15" t="str">
        <x:v>Ký túc xá</x:v>
      </x:c>
      <x:c r="G136" s="21" t="str">
        <x:v>0.6</x:v>
      </x:c>
      <x:c r="H136" s="21" t="str">
        <x:v>0.8</x:v>
      </x:c>
      <x:c r="I136" s="27" t="str">
        <x:v>6</x:v>
      </x:c>
      <x:c r="J136" s="15" t="str">
        <x:v>Đi bộ</x:v>
      </x:c>
    </x:row>
    <x:row r="137">
      <x:c r="A137" s="15" t="str">
        <x:v>Nguyễn Minh Long</x:v>
      </x:c>
      <x:c r="B137" s="15" t="str">
        <x:v>Nam</x:v>
      </x:c>
      <x:c r="C137" s="15" t="str">
        <x:v>HA201044</x:v>
      </x:c>
      <x:c r="D137" s="15" t="str">
        <x:v>Quản trị kinh doanh</x:v>
      </x:c>
      <x:c r="E137" s="15" t="str">
        <x:v>Dom D</x:v>
      </x:c>
      <x:c r="F137" s="15" t="str">
        <x:v>Ký túc xá</x:v>
      </x:c>
      <x:c r="G137" s="21" t="str">
        <x:v>0.3</x:v>
      </x:c>
      <x:c r="H137" s="21" t="str">
        <x:v>1.1</x:v>
      </x:c>
      <x:c r="I137" s="27" t="str">
        <x:v>4</x:v>
      </x:c>
      <x:c r="J137" s="15" t="str">
        <x:v>Đi bộ</x:v>
      </x:c>
    </x:row>
    <x:row r="138">
      <x:c r="A138" s="15" t="str">
        <x:v>Lê Đức Đăng</x:v>
      </x:c>
      <x:c r="B138" s="15" t="str">
        <x:v>Nam</x:v>
      </x:c>
      <x:c r="C138" s="15" t="str">
        <x:v>HA182971</x:v>
      </x:c>
      <x:c r="D138" s="15" t="str">
        <x:v>Quản trị kinh doanh</x:v>
      </x:c>
      <x:c r="E138" s="15" t="str">
        <x:v>Dom D</x:v>
      </x:c>
      <x:c r="F138" s="15" t="str">
        <x:v>Ký túc xá</x:v>
      </x:c>
      <x:c r="G138" s="21" t="str">
        <x:v>0.6</x:v>
      </x:c>
      <x:c r="H138" s="21" t="str">
        <x:v>0.8</x:v>
      </x:c>
      <x:c r="I138" s="27" t="str">
        <x:v>6</x:v>
      </x:c>
      <x:c r="J138" s="15" t="str">
        <x:v>Đi bộ</x:v>
      </x:c>
    </x:row>
    <x:row r="139">
      <x:c r="A139" s="15" t="str">
        <x:v>Lý Ngọc Cúc</x:v>
      </x:c>
      <x:c r="B139" s="15" t="str">
        <x:v>Nữ</x:v>
      </x:c>
      <x:c r="C139" s="15" t="str">
        <x:v>HA206264</x:v>
      </x:c>
      <x:c r="D139" s="15" t="str">
        <x:v>Quản trị kinh doanh</x:v>
      </x:c>
      <x:c r="E139" s="15" t="str">
        <x:v>Dom B</x:v>
      </x:c>
      <x:c r="F139" s="15" t="str">
        <x:v>Ký túc xá</x:v>
      </x:c>
      <x:c r="G139" s="21" t="str">
        <x:v>0.3</x:v>
      </x:c>
      <x:c r="H139" s="21" t="str">
        <x:v>1.1</x:v>
      </x:c>
      <x:c r="I139" s="27" t="str">
        <x:v>4</x:v>
      </x:c>
      <x:c r="J139" s="15" t="str">
        <x:v>Đi bộ</x:v>
      </x:c>
    </x:row>
    <x:row r="140">
      <x:c r="A140" s="15" t="str">
        <x:v>Đỗ Diệu Hạnh</x:v>
      </x:c>
      <x:c r="B140" s="15" t="str">
        <x:v>Nữ</x:v>
      </x:c>
      <x:c r="C140" s="15" t="str">
        <x:v>HE184166</x:v>
      </x:c>
      <x:c r="D140" s="15" t="str">
        <x:v>Công nghệ thông tin</x:v>
      </x:c>
      <x:c r="E140" s="15" t="str">
        <x:v>Hòa Lạc</x:v>
      </x:c>
      <x:c r="F140" s="15" t="str">
        <x:v>Phòng khép kín</x:v>
      </x:c>
      <x:c r="G140" s="21" t="str">
        <x:v>7.8</x:v>
      </x:c>
      <x:c r="H140" s="21" t="str">
        <x:v>1.5</x:v>
      </x:c>
      <x:c r="I140" s="27" t="str">
        <x:v>2</x:v>
      </x:c>
      <x:c r="J140" s="15" t="str">
        <x:v>Xe buýt</x:v>
      </x:c>
    </x:row>
    <x:row r="141">
      <x:c r="A141" s="15" t="str">
        <x:v>Phạm Thu Yến</x:v>
      </x:c>
      <x:c r="B141" s="15" t="str">
        <x:v>Nữ</x:v>
      </x:c>
      <x:c r="C141" s="15" t="str">
        <x:v>HE205712</x:v>
      </x:c>
      <x:c r="D141" s="15" t="str">
        <x:v>Công nghệ thông tin</x:v>
      </x:c>
      <x:c r="E141" s="15" t="str">
        <x:v>Dom B</x:v>
      </x:c>
      <x:c r="F141" s="15" t="str">
        <x:v>Ký túc xá</x:v>
      </x:c>
      <x:c r="G141" s="21" t="str">
        <x:v>0.1</x:v>
      </x:c>
      <x:c r="H141" s="21" t="str">
        <x:v>1.1</x:v>
      </x:c>
      <x:c r="I141" s="27" t="str">
        <x:v>4</x:v>
      </x:c>
      <x:c r="J141" s="15" t="str">
        <x:v>Đi bộ</x:v>
      </x:c>
    </x:row>
    <x:row r="142">
      <x:c r="A142" s="15" t="str">
        <x:v>Bùi Xuân Hùng</x:v>
      </x:c>
      <x:c r="B142" s="15" t="str">
        <x:v>Nam</x:v>
      </x:c>
      <x:c r="C142" s="15" t="str">
        <x:v>HS184517</x:v>
      </x:c>
      <x:c r="D142" s="15" t="str">
        <x:v>An toàn thông tin</x:v>
      </x:c>
      <x:c r="E142" s="15" t="str">
        <x:v>Tân Xã</x:v>
      </x:c>
      <x:c r="F142" s="15" t="str">
        <x:v>Phòng trọ cơ bản</x:v>
      </x:c>
      <x:c r="G142" s="21" t="str">
        <x:v>3.2</x:v>
      </x:c>
      <x:c r="H142" s="21" t="str">
        <x:v>2.2</x:v>
      </x:c>
      <x:c r="I142" s="27" t="str">
        <x:v>1</x:v>
      </x:c>
      <x:c r="J142" s="15" t="str">
        <x:v>Xe máy</x:v>
      </x:c>
    </x:row>
    <x:row r="143">
      <x:c r="A143" s="15" t="str">
        <x:v>Phùng Ngọc Khánh</x:v>
      </x:c>
      <x:c r="B143" s="15" t="str">
        <x:v>Nữ</x:v>
      </x:c>
      <x:c r="C143" s="15" t="str">
        <x:v>HE215550</x:v>
      </x:c>
      <x:c r="D143" s="15" t="str">
        <x:v>Công nghệ thông tin</x:v>
      </x:c>
      <x:c r="E143" s="15" t="str">
        <x:v>Tân Xã</x:v>
      </x:c>
      <x:c r="F143" s="15" t="str">
        <x:v>Phòng trọ cơ bản</x:v>
      </x:c>
      <x:c r="G143" s="21" t="str">
        <x:v>2.0</x:v>
      </x:c>
      <x:c r="H143" s="21" t="str">
        <x:v>1.6</x:v>
      </x:c>
      <x:c r="I143" s="27" t="str">
        <x:v>1</x:v>
      </x:c>
      <x:c r="J143" s="15" t="str">
        <x:v>Xe máy</x:v>
      </x:c>
    </x:row>
    <x:row r="144">
      <x:c r="A144" s="15" t="str">
        <x:v>Bùi Bích Khánh</x:v>
      </x:c>
      <x:c r="B144" s="15" t="str">
        <x:v>Nữ</x:v>
      </x:c>
      <x:c r="C144" s="15" t="str">
        <x:v>HS200572</x:v>
      </x:c>
      <x:c r="D144" s="15" t="str">
        <x:v>An toàn thông tin</x:v>
      </x:c>
      <x:c r="E144" s="15" t="str">
        <x:v>Hòa Lạc</x:v>
      </x:c>
      <x:c r="F144" s="15" t="str">
        <x:v>Phòng khép kín</x:v>
      </x:c>
      <x:c r="G144" s="21" t="str">
        <x:v>7.1</x:v>
      </x:c>
      <x:c r="H144" s="21" t="str">
        <x:v>1.4</x:v>
      </x:c>
      <x:c r="I144" s="27" t="str">
        <x:v>2</x:v>
      </x:c>
      <x:c r="J144" s="15" t="str">
        <x:v>Xe buýt</x:v>
      </x:c>
    </x:row>
    <x:row r="145">
      <x:c r="A145" s="15" t="str">
        <x:v>Trần Ngọc Nga</x:v>
      </x:c>
      <x:c r="B145" s="15" t="str">
        <x:v>Nữ</x:v>
      </x:c>
      <x:c r="C145" s="15" t="str">
        <x:v>HE213937</x:v>
      </x:c>
      <x:c r="D145" s="15" t="str">
        <x:v>Công nghệ thông tin</x:v>
      </x:c>
      <x:c r="E145" s="15" t="str">
        <x:v>Dom D</x:v>
      </x:c>
      <x:c r="F145" s="15" t="str">
        <x:v>Ký túc xá</x:v>
      </x:c>
      <x:c r="G145" s="21" t="str">
        <x:v>0.7</x:v>
      </x:c>
      <x:c r="H145" s="21" t="str">
        <x:v>1.1</x:v>
      </x:c>
      <x:c r="I145" s="27" t="str">
        <x:v>4</x:v>
      </x:c>
      <x:c r="J145" s="15" t="str">
        <x:v>Đi bộ</x:v>
      </x:c>
    </x:row>
    <x:row r="146">
      <x:c r="A146" s="15" t="str">
        <x:v>Lý Hữu Đăng</x:v>
      </x:c>
      <x:c r="B146" s="15" t="str">
        <x:v>Nam</x:v>
      </x:c>
      <x:c r="C146" s="15" t="str">
        <x:v>HC195330</x:v>
      </x:c>
      <x:c r="D146" s="15" t="str">
        <x:v>Thiết kế mỹ thuật số</x:v>
      </x:c>
      <x:c r="E146" s="15" t="str">
        <x:v>Tân Xã</x:v>
      </x:c>
      <x:c r="F146" s="15" t="str">
        <x:v>Phòng trọ cơ bản</x:v>
      </x:c>
      <x:c r="G146" s="21" t="str">
        <x:v>3.7</x:v>
      </x:c>
      <x:c r="H146" s="21" t="str">
        <x:v>2.1</x:v>
      </x:c>
      <x:c r="I146" s="27" t="str">
        <x:v>1</x:v>
      </x:c>
      <x:c r="J146" s="15" t="str">
        <x:v>Xe máy</x:v>
      </x:c>
    </x:row>
    <x:row r="147">
      <x:c r="A147" s="15" t="str">
        <x:v>Huỳnh Công Đạt</x:v>
      </x:c>
      <x:c r="B147" s="15" t="str">
        <x:v>Nam</x:v>
      </x:c>
      <x:c r="C147" s="15" t="str">
        <x:v>HS192422</x:v>
      </x:c>
      <x:c r="D147" s="15" t="str">
        <x:v>An toàn thông tin</x:v>
      </x:c>
      <x:c r="E147" s="15" t="str">
        <x:v>Tân Xã</x:v>
      </x:c>
      <x:c r="F147" s="15" t="str">
        <x:v>Phòng trọ cơ bản</x:v>
      </x:c>
      <x:c r="G147" s="21" t="str">
        <x:v>4.1</x:v>
      </x:c>
      <x:c r="H147" s="21" t="str">
        <x:v>2.0</x:v>
      </x:c>
      <x:c r="I147" s="27" t="str">
        <x:v>2</x:v>
      </x:c>
      <x:c r="J147" s="15" t="str">
        <x:v>Xe máy</x:v>
      </x:c>
    </x:row>
    <x:row r="148">
      <x:c r="A148" s="15" t="str">
        <x:v>Lê Kim Trinh</x:v>
      </x:c>
      <x:c r="B148" s="15" t="str">
        <x:v>Nữ</x:v>
      </x:c>
      <x:c r="C148" s="15" t="str">
        <x:v>HA184959</x:v>
      </x:c>
      <x:c r="D148" s="15" t="str">
        <x:v>Quản trị kinh doanh</x:v>
      </x:c>
      <x:c r="E148" s="15" t="str">
        <x:v>Dom B</x:v>
      </x:c>
      <x:c r="F148" s="15" t="str">
        <x:v>Ký túc xá</x:v>
      </x:c>
      <x:c r="G148" s="21" t="str">
        <x:v>0.2</x:v>
      </x:c>
      <x:c r="H148" s="21" t="str">
        <x:v>1.1</x:v>
      </x:c>
      <x:c r="I148" s="27" t="str">
        <x:v>4</x:v>
      </x:c>
      <x:c r="J148" s="15" t="str">
        <x:v>Đi bộ</x:v>
      </x:c>
    </x:row>
    <x:row r="149">
      <x:c r="A149" s="15" t="str">
        <x:v>Phùng Hữu Phong</x:v>
      </x:c>
      <x:c r="B149" s="15" t="str">
        <x:v>Nam</x:v>
      </x:c>
      <x:c r="C149" s="15" t="str">
        <x:v>HE193565</x:v>
      </x:c>
      <x:c r="D149" s="15" t="str">
        <x:v>Công nghệ thông tin</x:v>
      </x:c>
      <x:c r="E149" s="15" t="str">
        <x:v>Thạch Hòa</x:v>
      </x:c>
      <x:c r="F149" s="15" t="str">
        <x:v>Phòng trọ cơ bản</x:v>
      </x:c>
      <x:c r="G149" s="21" t="str">
        <x:v>4.1</x:v>
      </x:c>
      <x:c r="H149" s="21" t="str">
        <x:v>1.9</x:v>
      </x:c>
      <x:c r="I149" s="27" t="str">
        <x:v>2</x:v>
      </x:c>
      <x:c r="J149" s="15" t="str">
        <x:v>Xe máy</x:v>
      </x:c>
    </x:row>
    <x:row r="150">
      <x:c r="A150" s="15" t="str">
        <x:v>Hồ Khắc Bình</x:v>
      </x:c>
      <x:c r="B150" s="15" t="str">
        <x:v>Nam</x:v>
      </x:c>
      <x:c r="C150" s="15" t="str">
        <x:v>HC210076</x:v>
      </x:c>
      <x:c r="D150" s="15" t="str">
        <x:v>Thiết kế mỹ thuật số</x:v>
      </x:c>
      <x:c r="E150" s="15" t="str">
        <x:v>Thạch Hòa</x:v>
      </x:c>
      <x:c r="F150" s="15" t="str">
        <x:v>Phòng trọ cơ bản</x:v>
      </x:c>
      <x:c r="G150" s="21" t="str">
        <x:v>4.2</x:v>
      </x:c>
      <x:c r="H150" s="21" t="str">
        <x:v>1.8</x:v>
      </x:c>
      <x:c r="I150" s="27" t="str">
        <x:v>1</x:v>
      </x:c>
      <x:c r="J150" s="15" t="str">
        <x:v>Xe máy</x:v>
      </x:c>
    </x:row>
    <x:row r="151">
      <x:c r="A151" s="15" t="str">
        <x:v>Võ Quang Nam</x:v>
      </x:c>
      <x:c r="B151" s="15" t="str">
        <x:v>Nam</x:v>
      </x:c>
      <x:c r="C151" s="15" t="str">
        <x:v>HA187200</x:v>
      </x:c>
      <x:c r="D151" s="15" t="str">
        <x:v>Quản trị kinh doanh</x:v>
      </x:c>
      <x:c r="E151" s="15" t="str">
        <x:v>Dom A</x:v>
      </x:c>
      <x:c r="F151" s="15" t="str">
        <x:v>Ký túc xá</x:v>
      </x:c>
      <x:c r="G151" s="21" t="str">
        <x:v>0.5</x:v>
      </x:c>
      <x:c r="H151" s="21" t="str">
        <x:v>0.8</x:v>
      </x:c>
      <x:c r="I151" s="27" t="str">
        <x:v>6</x:v>
      </x:c>
      <x:c r="J151" s="15" t="str">
        <x:v>Đi bộ</x:v>
      </x:c>
    </x:row>
    <x:row r="152">
      <x:c r="A152" s="15" t="str">
        <x:v>Hồ Khắc Quân</x:v>
      </x:c>
      <x:c r="B152" s="15" t="str">
        <x:v>Nam</x:v>
      </x:c>
      <x:c r="C152" s="15" t="str">
        <x:v>HE184884</x:v>
      </x:c>
      <x:c r="D152" s="15" t="str">
        <x:v>Công nghệ thông tin</x:v>
      </x:c>
      <x:c r="E152" s="15" t="str">
        <x:v>Thạch Hòa</x:v>
      </x:c>
      <x:c r="F152" s="15" t="str">
        <x:v>Phòng trọ cơ bản</x:v>
      </x:c>
      <x:c r="G152" s="21" t="str">
        <x:v>3.3</x:v>
      </x:c>
      <x:c r="H152" s="21" t="str">
        <x:v>2.2</x:v>
      </x:c>
      <x:c r="I152" s="27" t="str">
        <x:v>1</x:v>
      </x:c>
      <x:c r="J152" s="15" t="str">
        <x:v>Xe máy</x:v>
      </x:c>
    </x:row>
    <x:row r="153">
      <x:c r="A153" s="15" t="str">
        <x:v>Phạm Công Phong</x:v>
      </x:c>
      <x:c r="B153" s="15" t="str">
        <x:v>Nam</x:v>
      </x:c>
      <x:c r="C153" s="15" t="str">
        <x:v>HS196082</x:v>
      </x:c>
      <x:c r="D153" s="15" t="str">
        <x:v>An toàn thông tin</x:v>
      </x:c>
      <x:c r="E153" s="15" t="str">
        <x:v>Tân Xã</x:v>
      </x:c>
      <x:c r="F153" s="15" t="str">
        <x:v>Phòng trọ cơ bản</x:v>
      </x:c>
      <x:c r="G153" s="21" t="str">
        <x:v>4.1</x:v>
      </x:c>
      <x:c r="H153" s="21" t="str">
        <x:v>2.0</x:v>
      </x:c>
      <x:c r="I153" s="27" t="str">
        <x:v>2</x:v>
      </x:c>
      <x:c r="J153" s="15" t="str">
        <x:v>Xe máy</x:v>
      </x:c>
    </x:row>
    <x:row r="154">
      <x:c r="A154" s="15" t="str">
        <x:v>Huỳnh Diệu Khánh</x:v>
      </x:c>
      <x:c r="B154" s="15" t="str">
        <x:v>Nữ</x:v>
      </x:c>
      <x:c r="C154" s="15" t="str">
        <x:v>HC198083</x:v>
      </x:c>
      <x:c r="D154" s="15" t="str">
        <x:v>Thiết kế mỹ thuật số</x:v>
      </x:c>
      <x:c r="E154" s="15" t="str">
        <x:v>Dom A</x:v>
      </x:c>
      <x:c r="F154" s="15" t="str">
        <x:v>Ký túc xá</x:v>
      </x:c>
      <x:c r="G154" s="21" t="str">
        <x:v>0.3</x:v>
      </x:c>
      <x:c r="H154" s="21" t="str">
        <x:v>1.1</x:v>
      </x:c>
      <x:c r="I154" s="27" t="str">
        <x:v>4</x:v>
      </x:c>
      <x:c r="J154" s="15" t="str">
        <x:v>Đi bộ</x:v>
      </x:c>
    </x:row>
    <x:row r="155">
      <x:c r="A155" s="15" t="str">
        <x:v>Ngô Thu Phương</x:v>
      </x:c>
      <x:c r="B155" s="15" t="str">
        <x:v>Nữ</x:v>
      </x:c>
      <x:c r="C155" s="15" t="str">
        <x:v>HS181943</x:v>
      </x:c>
      <x:c r="D155" s="15" t="str">
        <x:v>An toàn thông tin</x:v>
      </x:c>
      <x:c r="E155" s="15" t="str">
        <x:v>Hòa Lạc</x:v>
      </x:c>
      <x:c r="F155" s="15" t="str">
        <x:v>Phòng khép kín</x:v>
      </x:c>
      <x:c r="G155" s="21" t="str">
        <x:v>7.5</x:v>
      </x:c>
      <x:c r="H155" s="21" t="str">
        <x:v>1.5</x:v>
      </x:c>
      <x:c r="I155" s="27" t="str">
        <x:v>2</x:v>
      </x:c>
      <x:c r="J155" s="15" t="str">
        <x:v>Xe buýt</x:v>
      </x:c>
    </x:row>
    <x:row r="156">
      <x:c r="A156" s="15" t="str">
        <x:v>Huỳnh Xuân Đạt</x:v>
      </x:c>
      <x:c r="B156" s="15" t="str">
        <x:v>Nam</x:v>
      </x:c>
      <x:c r="C156" s="15" t="str">
        <x:v>HC200369</x:v>
      </x:c>
      <x:c r="D156" s="15" t="str">
        <x:v>Thiết kế mỹ thuật số</x:v>
      </x:c>
      <x:c r="E156" s="15" t="str">
        <x:v>Tân Xã</x:v>
      </x:c>
      <x:c r="F156" s="15" t="str">
        <x:v>Phòng trọ cơ bản</x:v>
      </x:c>
      <x:c r="G156" s="21" t="str">
        <x:v>3.7</x:v>
      </x:c>
      <x:c r="H156" s="21" t="str">
        <x:v>2.0</x:v>
      </x:c>
      <x:c r="I156" s="27" t="str">
        <x:v>1</x:v>
      </x:c>
      <x:c r="J156" s="15" t="str">
        <x:v>Xe máy</x:v>
      </x:c>
    </x:row>
    <x:row r="157">
      <x:c r="A157" s="15" t="str">
        <x:v>Hồ Đức Sơn</x:v>
      </x:c>
      <x:c r="B157" s="15" t="str">
        <x:v>Nam</x:v>
      </x:c>
      <x:c r="C157" s="15" t="str">
        <x:v>HA203095</x:v>
      </x:c>
      <x:c r="D157" s="15" t="str">
        <x:v>Quản trị kinh doanh</x:v>
      </x:c>
      <x:c r="E157" s="15" t="str">
        <x:v>Thạch Hòa</x:v>
      </x:c>
      <x:c r="F157" s="15" t="str">
        <x:v>Chung cư mini</x:v>
      </x:c>
      <x:c r="G157" s="21" t="str">
        <x:v>3.8</x:v>
      </x:c>
      <x:c r="H157" s="21" t="str">
        <x:v>2.9</x:v>
      </x:c>
      <x:c r="I157" s="27" t="str">
        <x:v>2</x:v>
      </x:c>
      <x:c r="J157" s="15" t="str">
        <x:v>Xe máy</x:v>
      </x:c>
    </x:row>
    <x:row r="158">
      <x:c r="A158" s="15" t="str">
        <x:v>Phùng Văn Long</x:v>
      </x:c>
      <x:c r="B158" s="15" t="str">
        <x:v>Nam</x:v>
      </x:c>
      <x:c r="C158" s="15" t="str">
        <x:v>HS195403</x:v>
      </x:c>
      <x:c r="D158" s="15" t="str">
        <x:v>An toàn thông tin</x:v>
      </x:c>
      <x:c r="E158" s="15" t="str">
        <x:v>Tân Xã</x:v>
      </x:c>
      <x:c r="F158" s="15" t="str">
        <x:v>Phòng trọ cơ bản</x:v>
      </x:c>
      <x:c r="G158" s="21" t="str">
        <x:v>2.5</x:v>
      </x:c>
      <x:c r="H158" s="21" t="str">
        <x:v>2.3</x:v>
      </x:c>
      <x:c r="I158" s="27" t="str">
        <x:v>1</x:v>
      </x:c>
      <x:c r="J158" s="15" t="str">
        <x:v>Xe máy</x:v>
      </x:c>
    </x:row>
    <x:row r="159">
      <x:c r="A159" s="15" t="str">
        <x:v>Trịnh Quang Cường</x:v>
      </x:c>
      <x:c r="B159" s="15" t="str">
        <x:v>Nam</x:v>
      </x:c>
      <x:c r="C159" s="15" t="str">
        <x:v>HC212521</x:v>
      </x:c>
      <x:c r="D159" s="15" t="str">
        <x:v>Thiết kế mỹ thuật số</x:v>
      </x:c>
      <x:c r="E159" s="15" t="str">
        <x:v>Hòa Lạc</x:v>
      </x:c>
      <x:c r="F159" s="15" t="str">
        <x:v>Phòng khép kín</x:v>
      </x:c>
      <x:c r="G159" s="21" t="str">
        <x:v>5.5</x:v>
      </x:c>
      <x:c r="H159" s="21" t="str">
        <x:v>1.8</x:v>
      </x:c>
      <x:c r="I159" s="27" t="str">
        <x:v>1</x:v>
      </x:c>
      <x:c r="J159" s="15" t="str">
        <x:v>Xe buýt</x:v>
      </x:c>
    </x:row>
    <x:row r="160">
      <x:c r="A160" s="15" t="str">
        <x:v>Bùi Công An</x:v>
      </x:c>
      <x:c r="B160" s="15" t="str">
        <x:v>Nam</x:v>
      </x:c>
      <x:c r="C160" s="15" t="str">
        <x:v>HC183452</x:v>
      </x:c>
      <x:c r="D160" s="15" t="str">
        <x:v>Thiết kế mỹ thuật số</x:v>
      </x:c>
      <x:c r="E160" s="15" t="str">
        <x:v>Dom B</x:v>
      </x:c>
      <x:c r="F160" s="15" t="str">
        <x:v>Ký túc xá</x:v>
      </x:c>
      <x:c r="G160" s="21" t="str">
        <x:v>0.3</x:v>
      </x:c>
      <x:c r="H160" s="21" t="str">
        <x:v>1.1</x:v>
      </x:c>
      <x:c r="I160" s="27" t="str">
        <x:v>4</x:v>
      </x:c>
      <x:c r="J160" s="15" t="str">
        <x:v>Đi bộ</x:v>
      </x:c>
    </x:row>
    <x:row r="161">
      <x:c r="A161" s="15" t="str">
        <x:v>Hoàng Khắc Hùng</x:v>
      </x:c>
      <x:c r="B161" s="15" t="str">
        <x:v>Nam</x:v>
      </x:c>
      <x:c r="C161" s="15" t="str">
        <x:v>HE211183</x:v>
      </x:c>
      <x:c r="D161" s="15" t="str">
        <x:v>Công nghệ thông tin</x:v>
      </x:c>
      <x:c r="E161" s="15" t="str">
        <x:v>Tân Xã</x:v>
      </x:c>
      <x:c r="F161" s="15" t="str">
        <x:v>Phòng trọ cơ bản</x:v>
      </x:c>
      <x:c r="G161" s="21" t="str">
        <x:v>3.1</x:v>
      </x:c>
      <x:c r="H161" s="21" t="str">
        <x:v>2.2</x:v>
      </x:c>
      <x:c r="I161" s="27" t="str">
        <x:v>1</x:v>
      </x:c>
      <x:c r="J161" s="15" t="str">
        <x:v>Xe máy</x:v>
      </x:c>
    </x:row>
    <x:row r="162">
      <x:c r="A162" s="15" t="str">
        <x:v>Trần Khắc Nam</x:v>
      </x:c>
      <x:c r="B162" s="15" t="str">
        <x:v>Nam</x:v>
      </x:c>
      <x:c r="C162" s="15" t="str">
        <x:v>HS199533</x:v>
      </x:c>
      <x:c r="D162" s="15" t="str">
        <x:v>An toàn thông tin</x:v>
      </x:c>
      <x:c r="E162" s="15" t="str">
        <x:v>Tân Xã</x:v>
      </x:c>
      <x:c r="F162" s="15" t="str">
        <x:v>Phòng trọ cơ bản</x:v>
      </x:c>
      <x:c r="G162" s="21" t="str">
        <x:v>2.3</x:v>
      </x:c>
      <x:c r="H162" s="21" t="str">
        <x:v>2.3</x:v>
      </x:c>
      <x:c r="I162" s="27" t="str">
        <x:v>2</x:v>
      </x:c>
      <x:c r="J162" s="15" t="str">
        <x:v>Xe máy</x:v>
      </x:c>
    </x:row>
    <x:row r="163">
      <x:c r="A163" s="15" t="str">
        <x:v>Huỳnh Hồng Vy</x:v>
      </x:c>
      <x:c r="B163" s="15" t="str">
        <x:v>Nữ</x:v>
      </x:c>
      <x:c r="C163" s="15" t="str">
        <x:v>HA190218</x:v>
      </x:c>
      <x:c r="D163" s="15" t="str">
        <x:v>Quản trị kinh doanh</x:v>
      </x:c>
      <x:c r="E163" s="15" t="str">
        <x:v>Dom B</x:v>
      </x:c>
      <x:c r="F163" s="15" t="str">
        <x:v>Ký túc xá</x:v>
      </x:c>
      <x:c r="G163" s="21" t="str">
        <x:v>0.6</x:v>
      </x:c>
      <x:c r="H163" s="21" t="str">
        <x:v>1.1</x:v>
      </x:c>
      <x:c r="I163" s="27" t="str">
        <x:v>4</x:v>
      </x:c>
      <x:c r="J163" s="15" t="str">
        <x:v>Đi bộ</x:v>
      </x:c>
    </x:row>
    <x:row r="164">
      <x:c r="A164" s="15" t="str">
        <x:v>Hồ Ngọc Lan</x:v>
      </x:c>
      <x:c r="B164" s="15" t="str">
        <x:v>Nữ</x:v>
      </x:c>
      <x:c r="C164" s="15" t="str">
        <x:v>HS203815</x:v>
      </x:c>
      <x:c r="D164" s="15" t="str">
        <x:v>An toàn thông tin</x:v>
      </x:c>
      <x:c r="E164" s="15" t="str">
        <x:v>Dom C</x:v>
      </x:c>
      <x:c r="F164" s="15" t="str">
        <x:v>Ký túc xá</x:v>
      </x:c>
      <x:c r="G164" s="21" t="str">
        <x:v>0.4</x:v>
      </x:c>
      <x:c r="H164" s="21" t="str">
        <x:v>0.8</x:v>
      </x:c>
      <x:c r="I164" s="27" t="str">
        <x:v>6</x:v>
      </x:c>
      <x:c r="J164" s="15" t="str">
        <x:v>Đi bộ</x:v>
      </x:c>
    </x:row>
    <x:row r="165">
      <x:c r="A165" s="15" t="str">
        <x:v>Vũ Hồng Bình</x:v>
      </x:c>
      <x:c r="B165" s="15" t="str">
        <x:v>Nữ</x:v>
      </x:c>
      <x:c r="C165" s="15" t="str">
        <x:v>HC213884</x:v>
      </x:c>
      <x:c r="D165" s="15" t="str">
        <x:v>Thiết kế mỹ thuật số</x:v>
      </x:c>
      <x:c r="E165" s="15" t="str">
        <x:v>Hòa Lạc</x:v>
      </x:c>
      <x:c r="F165" s="15" t="str">
        <x:v>Phòng khép kín</x:v>
      </x:c>
      <x:c r="G165" s="21" t="str">
        <x:v>6.8</x:v>
      </x:c>
      <x:c r="H165" s="21" t="str">
        <x:v>1.6</x:v>
      </x:c>
      <x:c r="I165" s="27" t="str">
        <x:v>1</x:v>
      </x:c>
      <x:c r="J165" s="15" t="str">
        <x:v>Xe buýt</x:v>
      </x:c>
    </x:row>
    <x:row r="166">
      <x:c r="A166" s="15" t="str">
        <x:v>Phan Thu Phương</x:v>
      </x:c>
      <x:c r="B166" s="15" t="str">
        <x:v>Nữ</x:v>
      </x:c>
      <x:c r="C166" s="15" t="str">
        <x:v>HE180117</x:v>
      </x:c>
      <x:c r="D166" s="15" t="str">
        <x:v>Công nghệ thông tin</x:v>
      </x:c>
      <x:c r="E166" s="15" t="str">
        <x:v>Hòa Lạc</x:v>
      </x:c>
      <x:c r="F166" s="15" t="str">
        <x:v>Phòng khép kín</x:v>
      </x:c>
      <x:c r="G166" s="21" t="str">
        <x:v>6.0</x:v>
      </x:c>
      <x:c r="H166" s="21" t="str">
        <x:v>1.9</x:v>
      </x:c>
      <x:c r="I166" s="27" t="str">
        <x:v>1</x:v>
      </x:c>
      <x:c r="J166" s="15" t="str">
        <x:v>Xe buýt</x:v>
      </x:c>
    </x:row>
    <x:row r="167">
      <x:c r="A167" s="15" t="str">
        <x:v>Đỗ Đức Tuấn</x:v>
      </x:c>
      <x:c r="B167" s="15" t="str">
        <x:v>Nam</x:v>
      </x:c>
      <x:c r="C167" s="15" t="str">
        <x:v>HC219113</x:v>
      </x:c>
      <x:c r="D167" s="15" t="str">
        <x:v>Thiết kế mỹ thuật số</x:v>
      </x:c>
      <x:c r="E167" s="15" t="str">
        <x:v>Hòa Lạc</x:v>
      </x:c>
      <x:c r="F167" s="15" t="str">
        <x:v>Phòng khép kín</x:v>
      </x:c>
      <x:c r="G167" s="21" t="str">
        <x:v>7.0</x:v>
      </x:c>
      <x:c r="H167" s="21" t="str">
        <x:v>1.5</x:v>
      </x:c>
      <x:c r="I167" s="27" t="str">
        <x:v>2</x:v>
      </x:c>
      <x:c r="J167" s="15" t="str">
        <x:v>Xe buýt</x:v>
      </x:c>
    </x:row>
    <x:row r="168">
      <x:c r="A168" s="15" t="str">
        <x:v>Phan Minh Giang</x:v>
      </x:c>
      <x:c r="B168" s="15" t="str">
        <x:v>Nam</x:v>
      </x:c>
      <x:c r="C168" s="15" t="str">
        <x:v>HE196920</x:v>
      </x:c>
      <x:c r="D168" s="15" t="str">
        <x:v>Công nghệ thông tin</x:v>
      </x:c>
      <x:c r="E168" s="15" t="str">
        <x:v>Thạch Hòa</x:v>
      </x:c>
      <x:c r="F168" s="15" t="str">
        <x:v>Chung cư mini</x:v>
      </x:c>
      <x:c r="G168" s="21" t="str">
        <x:v>3.2</x:v>
      </x:c>
      <x:c r="H168" s="21" t="str">
        <x:v>2.7</x:v>
      </x:c>
      <x:c r="I168" s="27" t="str">
        <x:v>2</x:v>
      </x:c>
      <x:c r="J168" s="15" t="str">
        <x:v>Xe máy</x:v>
      </x:c>
    </x:row>
    <x:row r="169">
      <x:c r="A169" s="15" t="str">
        <x:v>Bùi Xuân Sơn</x:v>
      </x:c>
      <x:c r="B169" s="15" t="str">
        <x:v>Nam</x:v>
      </x:c>
      <x:c r="C169" s="15" t="str">
        <x:v>HE219614</x:v>
      </x:c>
      <x:c r="D169" s="15" t="str">
        <x:v>Công nghệ thông tin</x:v>
      </x:c>
      <x:c r="E169" s="15" t="str">
        <x:v>Tân Xã</x:v>
      </x:c>
      <x:c r="F169" s="15" t="str">
        <x:v>Phòng trọ cơ bản</x:v>
      </x:c>
      <x:c r="G169" s="21" t="str">
        <x:v>3.5</x:v>
      </x:c>
      <x:c r="H169" s="21" t="str">
        <x:v>2.7</x:v>
      </x:c>
      <x:c r="I169" s="27" t="str">
        <x:v>2</x:v>
      </x:c>
      <x:c r="J169" s="15" t="str">
        <x:v>Xe máy</x:v>
      </x:c>
    </x:row>
    <x:row r="170">
      <x:c r="A170" s="15" t="str">
        <x:v>Huỳnh Kim Phương</x:v>
      </x:c>
      <x:c r="B170" s="15" t="str">
        <x:v>Nữ</x:v>
      </x:c>
      <x:c r="C170" s="15" t="str">
        <x:v>HE217841</x:v>
      </x:c>
      <x:c r="D170" s="15" t="str">
        <x:v>Công nghệ thông tin</x:v>
      </x:c>
      <x:c r="E170" s="15" t="str">
        <x:v>Dom A</x:v>
      </x:c>
      <x:c r="F170" s="15" t="str">
        <x:v>Ký túc xá</x:v>
      </x:c>
      <x:c r="G170" s="21" t="str">
        <x:v>0.2</x:v>
      </x:c>
      <x:c r="H170" s="21" t="str">
        <x:v>0.8</x:v>
      </x:c>
      <x:c r="I170" s="27" t="str">
        <x:v>6</x:v>
      </x:c>
      <x:c r="J170" s="15" t="str">
        <x:v>Đi bộ</x:v>
      </x:c>
    </x:row>
    <x:row r="171">
      <x:c r="A171" s="15" t="str">
        <x:v>Võ Quang Tuấn</x:v>
      </x:c>
      <x:c r="B171" s="15" t="str">
        <x:v>Nam</x:v>
      </x:c>
      <x:c r="C171" s="15" t="str">
        <x:v>HS216542</x:v>
      </x:c>
      <x:c r="D171" s="15" t="str">
        <x:v>An toàn thông tin</x:v>
      </x:c>
      <x:c r="E171" s="15" t="str">
        <x:v>Thạch Hòa</x:v>
      </x:c>
      <x:c r="F171" s="15" t="str">
        <x:v>Phòng trọ cơ bản</x:v>
      </x:c>
      <x:c r="G171" s="21" t="str">
        <x:v>2.7</x:v>
      </x:c>
      <x:c r="H171" s="21" t="str">
        <x:v>2.3</x:v>
      </x:c>
      <x:c r="I171" s="27" t="str">
        <x:v>1</x:v>
      </x:c>
      <x:c r="J171" s="15" t="str">
        <x:v>Xe máy</x:v>
      </x:c>
    </x:row>
    <x:row r="172">
      <x:c r="A172" s="15" t="str">
        <x:v>Đỗ Quang Phong</x:v>
      </x:c>
      <x:c r="B172" s="15" t="str">
        <x:v>Nam</x:v>
      </x:c>
      <x:c r="C172" s="15" t="str">
        <x:v>HA208819</x:v>
      </x:c>
      <x:c r="D172" s="15" t="str">
        <x:v>Quản trị kinh doanh</x:v>
      </x:c>
      <x:c r="E172" s="15" t="str">
        <x:v>Tân Xã</x:v>
      </x:c>
      <x:c r="F172" s="15" t="str">
        <x:v>Phòng trọ cơ bản</x:v>
      </x:c>
      <x:c r="G172" s="21" t="str">
        <x:v>3.8</x:v>
      </x:c>
      <x:c r="H172" s="21" t="str">
        <x:v>1.9</x:v>
      </x:c>
      <x:c r="I172" s="27" t="str">
        <x:v>2</x:v>
      </x:c>
      <x:c r="J172" s="15" t="str">
        <x:v>Xe đạp</x:v>
      </x:c>
    </x:row>
    <x:row r="173">
      <x:c r="A173" s="16" t="str">
        <x:v>Phan Khắc Tuấn</x:v>
      </x:c>
      <x:c r="B173" s="16" t="str">
        <x:v>Nam</x:v>
      </x:c>
      <x:c r="C173" s="16" t="str">
        <x:v>HC195661</x:v>
      </x:c>
      <x:c r="D173" s="16" t="str">
        <x:v>Thiết kế mỹ thuật số</x:v>
      </x:c>
      <x:c r="E173" s="16" t="str">
        <x:v>Thạch Hòa</x:v>
      </x:c>
      <x:c r="F173" s="16" t="str">
        <x:v>Phòng trọ cơ bản</x:v>
      </x:c>
      <x:c r="G173" s="22" t="str">
        <x:v>4.2</x:v>
      </x:c>
      <x:c r="H173" s="22" t="str">
        <x:v>1.8</x:v>
      </x:c>
      <x:c r="I173" s="28" t="str">
        <x:v>1</x:v>
      </x:c>
      <x:c r="J173" s="16" t="str">
        <x:v>Xe đạp</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3" hidden="0" customWidth="1"/>
    <x:col min="3" max="3" width="14" hidden="0" customWidth="1"/>
    <x:col min="4" max="4" width="29" hidden="0" customWidth="1"/>
    <x:col min="5" max="5" width="3" hidden="0" customWidth="1"/>
    <x:col min="6" max="6" width="6" hidden="0" customWidth="1"/>
    <x:col min="7" max="7" width="17" hidden="0" customWidth="1"/>
    <x:col min="8" max="8" width="18" hidden="0" customWidth="1"/>
    <x:col min="9" max="9" width="17" hidden="0" customWidth="1"/>
    <x:col min="10" max="10" width="3" hidden="0" customWidth="1"/>
    <x:col min="11" max="11" width="21" hidden="0" customWidth="1"/>
    <x:col min="12" max="12" width="11" hidden="0" customWidth="1"/>
    <x:col min="13" max="13" width="9" hidden="0" customWidth="1"/>
    <x:col min="14" max="14" width="10" hidden="0" customWidth="1"/>
  </x:cols>
  <x:sheetData>
    <x:row r="1" ht="34" customHeight="1">
      <x:c r="A1" s="64" t="str">
        <x:v>PHÂN TÍCH ẢNH HƯỞNG CỦA KHOẢNG CÁCH ĐẾN GIÁ THUÊ TRỌ</x:v>
      </x:c>
      <x:c r="B1" s="64" t="str">
        <x:v>PHÂN TÍCH ẢNH HƯỞNG CỦA KHOẢNG CÁCH ĐẾN GIÁ THUÊ TRỌ</x:v>
      </x:c>
      <x:c r="C1" s="64" t="str">
        <x:v>PHÂN TÍCH ẢNH HƯỞNG CỦA KHOẢNG CÁCH ĐẾN GIÁ THUÊ TRỌ</x:v>
      </x:c>
      <x:c r="D1" s="64" t="str">
        <x:v>PHÂN TÍCH ẢNH HƯỞNG CỦA KHOẢNG CÁCH ĐẾN GIÁ THUÊ TRỌ</x:v>
      </x:c>
      <x:c r="E1" s="64" t="str">
        <x:v>PHÂN TÍCH ẢNH HƯỞNG CỦA KHOẢNG CÁCH ĐẾN GIÁ THUÊ TRỌ</x:v>
      </x:c>
      <x:c r="F1" s="64" t="str">
        <x:v>PHÂN TÍCH ẢNH HƯỞNG CỦA KHOẢNG CÁCH ĐẾN GIÁ THUÊ TRỌ</x:v>
      </x:c>
      <x:c r="G1" s="64" t="str">
        <x:v>PHÂN TÍCH ẢNH HƯỞNG CỦA KHOẢNG CÁCH ĐẾN GIÁ THUÊ TRỌ</x:v>
      </x:c>
      <x:c r="H1" s="64" t="str">
        <x:v>PHÂN TÍCH ẢNH HƯỞNG CỦA KHOẢNG CÁCH ĐẾN GIÁ THUÊ TRỌ</x:v>
      </x:c>
      <x:c r="I1" s="64" t="str">
        <x:v>PHÂN TÍCH ẢNH HƯỞNG CỦA KHOẢNG CÁCH ĐẾN GIÁ THUÊ TRỌ</x:v>
      </x:c>
      <x:c r="J1" s="64" t="str">
        <x:v>PHÂN TÍCH ẢNH HƯỞNG CỦA KHOẢNG CÁCH ĐẾN GIÁ THUÊ TRỌ</x:v>
      </x:c>
      <x:c r="K1" s="64" t="str">
        <x:v>PHÂN TÍCH ẢNH HƯỞNG CỦA KHOẢNG CÁCH ĐẾN GIÁ THUÊ TRỌ</x:v>
      </x:c>
      <x:c r="L1" s="64" t="str">
        <x:v>PHÂN TÍCH ẢNH HƯỞNG CỦA KHOẢNG CÁCH ĐẾN GIÁ THUÊ TRỌ</x:v>
      </x:c>
      <x:c r="M1" s="64" t="str">
        <x:v>PHÂN TÍCH ẢNH HƯỞNG CỦA KHOẢNG CÁCH ĐẾN GIÁ THUÊ TRỌ</x:v>
      </x:c>
      <x:c r="N1" s="64" t="str">
        <x:v>PHÂN TÍCH ẢNH HƯỞNG CỦA KHOẢNG CÁCH ĐẾN GIÁ THUÊ TRỌ</x:v>
      </x:c>
    </x:row>
    <x:row r="2">
      <x:c r="A2" s="284" t="str">
        <x:v>Hồi quy tuyến tính đơn • Dữ liệu khảo sát sinh viên quanh Đại học FPT</x:v>
      </x:c>
      <x:c r="B2" s="284" t="str">
        <x:v>Hồi quy tuyến tính đơn • Dữ liệu khảo sát sinh viên quanh Đại học FPT</x:v>
      </x:c>
      <x:c r="C2" s="284" t="str">
        <x:v>Hồi quy tuyến tính đơn • Dữ liệu khảo sát sinh viên quanh Đại học FPT</x:v>
      </x:c>
      <x:c r="D2" s="284" t="str">
        <x:v>Hồi quy tuyến tính đơn • Dữ liệu khảo sát sinh viên quanh Đại học FPT</x:v>
      </x:c>
      <x:c r="E2" s="284" t="str">
        <x:v>Hồi quy tuyến tính đơn • Dữ liệu khảo sát sinh viên quanh Đại học FPT</x:v>
      </x:c>
      <x:c r="F2" s="284" t="str">
        <x:v>Hồi quy tuyến tính đơn • Dữ liệu khảo sát sinh viên quanh Đại học FPT</x:v>
      </x:c>
      <x:c r="G2" s="284" t="str">
        <x:v>Hồi quy tuyến tính đơn • Dữ liệu khảo sát sinh viên quanh Đại học FPT</x:v>
      </x:c>
      <x:c r="H2" s="284" t="str">
        <x:v>Hồi quy tuyến tính đơn • Dữ liệu khảo sát sinh viên quanh Đại học FPT</x:v>
      </x:c>
      <x:c r="I2" s="284" t="str">
        <x:v>Hồi quy tuyến tính đơn • Dữ liệu khảo sát sinh viên quanh Đại học FPT</x:v>
      </x:c>
      <x:c r="J2" s="284" t="str">
        <x:v>Hồi quy tuyến tính đơn • Dữ liệu khảo sát sinh viên quanh Đại học FPT</x:v>
      </x:c>
      <x:c r="K2" s="284" t="str">
        <x:v>Hồi quy tuyến tính đơn • Dữ liệu khảo sát sinh viên quanh Đại học FPT</x:v>
      </x:c>
      <x:c r="L2" s="284" t="str">
        <x:v>Hồi quy tuyến tính đơn • Dữ liệu khảo sát sinh viên quanh Đại học FPT</x:v>
      </x:c>
      <x:c r="M2" s="284" t="str">
        <x:v>Hồi quy tuyến tính đơn • Dữ liệu khảo sát sinh viên quanh Đại học FPT</x:v>
      </x:c>
      <x:c r="N2" s="284" t="str">
        <x:v>Hồi quy tuyến tính đơn • Dữ liệu khảo sát sinh viên quanh Đại học FPT</x:v>
      </x:c>
    </x:row>
    <x:row r="4" ht="24" customHeight="1">
      <x:c r="A4" s="68" t="str">
        <x:v>Bài toán</x:v>
      </x:c>
      <x:c r="B4" s="68" t="str">
        <x:v>Bài toán</x:v>
      </x:c>
      <x:c r="C4" s="68" t="str">
        <x:v>Bài toán</x:v>
      </x:c>
      <x:c r="D4" s="68" t="str">
        <x:v>Bài toán</x:v>
      </x:c>
      <x:c r="F4" s="68" t="str">
        <x:v>Phần việc cá nhân — sửa lại cho đúng thực tế</x:v>
      </x:c>
      <x:c r="G4" s="68" t="str">
        <x:v>Phần việc cá nhân — sửa lại cho đúng thực tế</x:v>
      </x:c>
      <x:c r="H4" s="68" t="str">
        <x:v>Phần việc cá nhân — sửa lại cho đúng thực tế</x:v>
      </x:c>
      <x:c r="I4" s="68" t="str">
        <x:v>Phần việc cá nhân — sửa lại cho đúng thực tế</x:v>
      </x:c>
      <x:c r="K4" s="68" t="str">
        <x:v>Dữ liệu</x:v>
      </x:c>
      <x:c r="L4" s="68" t="str">
        <x:v>Dữ liệu</x:v>
      </x:c>
      <x:c r="M4" s="68" t="str">
        <x:v>Dữ liệu</x:v>
      </x:c>
      <x:c r="N4" s="68" t="str">
        <x:v>Dữ liệu</x:v>
      </x:c>
    </x:row>
    <x:row r="5">
      <x:c r="A5" s="304" t="str">
        <x:v>Mục tiêu: định lượng mối liên hệ giữa khoảng cách tới trường (X, km) và giá thuê trọ (Y, triệu VNĐ/tháng).
Mô hình: Yi = β0 + β1Xi + εi
Phương pháp: Ordinary Least Squares (OLS).</x:v>
      </x:c>
      <x:c r="B5" s="305" t="str">
        <x:v>Mục tiêu: định lượng mối liên hệ giữa khoảng cách tới trường (X, km) và giá thuê trọ (Y, triệu VNĐ/tháng).
Mô hình: Yi = β0 + β1Xi + εi
Phương pháp: Ordinary Least Squares (OLS).</x:v>
      </x:c>
      <x:c r="C5" s="305" t="str">
        <x:v>Mục tiêu: định lượng mối liên hệ giữa khoảng cách tới trường (X, km) và giá thuê trọ (Y, triệu VNĐ/tháng).
Mô hình: Yi = β0 + β1Xi + εi
Phương pháp: Ordinary Least Squares (OLS).</x:v>
      </x:c>
      <x:c r="D5" s="306" t="str">
        <x:v>Mục tiêu: định lượng mối liên hệ giữa khoảng cách tới trường (X, km) và giá thuê trọ (Y, triệu VNĐ/tháng).
Mô hình: Yi = β0 + β1Xi + εi
Phương pháp: Ordinary Least Squares (OLS).</x:v>
      </x:c>
      <x:c r="F5" s="348" t="str">
        <x:v>Gợi ý trình bày: “Em phụ trách kiểm tra và làm sạch dữ liệu, xây file Excel tính các ước lượng OLS, tách KTX khỏi mẫu hồi quy theo đúng cơ chế hình thành giá, và diễn giải kết quả.”
Chỉ giữ những ý đúng với phần bạn thực sự đã làm.</x:v>
      </x:c>
      <x:c r="G5" s="349" t="str">
        <x:v>Gợi ý trình bày: “Em phụ trách kiểm tra và làm sạch dữ liệu, xây file Excel tính các ước lượng OLS, tách KTX khỏi mẫu hồi quy theo đúng cơ chế hình thành giá, và diễn giải kết quả.”
Chỉ giữ những ý đúng với phần bạn thực sự đã làm.</x:v>
      </x:c>
      <x:c r="H5" s="349" t="str">
        <x:v>Gợi ý trình bày: “Em phụ trách kiểm tra và làm sạch dữ liệu, xây file Excel tính các ước lượng OLS, tách KTX khỏi mẫu hồi quy theo đúng cơ chế hình thành giá, và diễn giải kết quả.”
Chỉ giữ những ý đúng với phần bạn thực sự đã làm.</x:v>
      </x:c>
      <x:c r="I5" s="350" t="str">
        <x:v>Gợi ý trình bày: “Em phụ trách kiểm tra và làm sạch dữ liệu, xây file Excel tính các ước lượng OLS, tách KTX khỏi mẫu hồi quy theo đúng cơ chế hình thành giá, và diễn giải kết quả.”
Chỉ giữ những ý đúng với phần bạn thực sự đã làm.</x:v>
      </x:c>
      <x:c r="K5" s="374" t="str">
        <x:v>Dữ liệu gốc</x:v>
      </x:c>
      <x:c r="L5" s="380" t="n">
        <x:v>262</x:v>
      </x:c>
      <x:c r="M5" s="367" t="str">
        <x:v>dòng</x:v>
      </x:c>
      <x:c r="N5" s="368" t="str"/>
    </x:row>
    <x:row r="6">
      <x:c r="A6" s="158" t="str">
        <x:v>Mục tiêu: định lượng mối liên hệ giữa khoảng cách tới trường (X, km) và giá thuê trọ (Y, triệu VNĐ/tháng).
Mô hình: Yi = β0 + β1Xi + εi
Phương pháp: Ordinary Least Squares (OLS).</x:v>
      </x:c>
      <x:c r="B6" s="307" t="str">
        <x:v>Mục tiêu: định lượng mối liên hệ giữa khoảng cách tới trường (X, km) và giá thuê trọ (Y, triệu VNĐ/tháng).
Mô hình: Yi = β0 + β1Xi + εi
Phương pháp: Ordinary Least Squares (OLS).</x:v>
      </x:c>
      <x:c r="C6" s="307" t="str">
        <x:v>Mục tiêu: định lượng mối liên hệ giữa khoảng cách tới trường (X, km) và giá thuê trọ (Y, triệu VNĐ/tháng).
Mô hình: Yi = β0 + β1Xi + εi
Phương pháp: Ordinary Least Squares (OLS).</x:v>
      </x:c>
      <x:c r="D6" s="159" t="str">
        <x:v>Mục tiêu: định lượng mối liên hệ giữa khoảng cách tới trường (X, km) và giá thuê trọ (Y, triệu VNĐ/tháng).
Mô hình: Yi = β0 + β1Xi + εi
Phương pháp: Ordinary Least Squares (OLS).</x:v>
      </x:c>
      <x:c r="F6" s="351" t="str">
        <x:v>Gợi ý trình bày: “Em phụ trách kiểm tra và làm sạch dữ liệu, xây file Excel tính các ước lượng OLS, tách KTX khỏi mẫu hồi quy theo đúng cơ chế hình thành giá, và diễn giải kết quả.”
Chỉ giữ những ý đúng với phần bạn thực sự đã làm.</x:v>
      </x:c>
      <x:c r="G6" s="352" t="str">
        <x:v>Gợi ý trình bày: “Em phụ trách kiểm tra và làm sạch dữ liệu, xây file Excel tính các ước lượng OLS, tách KTX khỏi mẫu hồi quy theo đúng cơ chế hình thành giá, và diễn giải kết quả.”
Chỉ giữ những ý đúng với phần bạn thực sự đã làm.</x:v>
      </x:c>
      <x:c r="H6" s="352" t="str">
        <x:v>Gợi ý trình bày: “Em phụ trách kiểm tra và làm sạch dữ liệu, xây file Excel tính các ước lượng OLS, tách KTX khỏi mẫu hồi quy theo đúng cơ chế hình thành giá, và diễn giải kết quả.”
Chỉ giữ những ý đúng với phần bạn thực sự đã làm.</x:v>
      </x:c>
      <x:c r="I6" s="353" t="str">
        <x:v>Gợi ý trình bày: “Em phụ trách kiểm tra và làm sạch dữ liệu, xây file Excel tính các ước lượng OLS, tách KTX khỏi mẫu hồi quy theo đúng cơ chế hình thành giá, và diễn giải kết quả.”
Chỉ giữ những ý đúng với phần bạn thực sự đã làm.</x:v>
      </x:c>
      <x:c r="K6" s="375" t="str">
        <x:v>Sau làm sạch</x:v>
      </x:c>
      <x:c r="L6" s="76" t="n">
        <x:v>172</x:v>
      </x:c>
      <x:c r="M6" s="74" t="str">
        <x:v>dòng</x:v>
      </x:c>
      <x:c r="N6" s="172" t="str"/>
    </x:row>
    <x:row r="7">
      <x:c r="A7" s="158" t="str">
        <x:v>Mục tiêu: định lượng mối liên hệ giữa khoảng cách tới trường (X, km) và giá thuê trọ (Y, triệu VNĐ/tháng).
Mô hình: Yi = β0 + β1Xi + εi
Phương pháp: Ordinary Least Squares (OLS).</x:v>
      </x:c>
      <x:c r="B7" s="307" t="str">
        <x:v>Mục tiêu: định lượng mối liên hệ giữa khoảng cách tới trường (X, km) và giá thuê trọ (Y, triệu VNĐ/tháng).
Mô hình: Yi = β0 + β1Xi + εi
Phương pháp: Ordinary Least Squares (OLS).</x:v>
      </x:c>
      <x:c r="C7" s="307" t="str">
        <x:v>Mục tiêu: định lượng mối liên hệ giữa khoảng cách tới trường (X, km) và giá thuê trọ (Y, triệu VNĐ/tháng).
Mô hình: Yi = β0 + β1Xi + εi
Phương pháp: Ordinary Least Squares (OLS).</x:v>
      </x:c>
      <x:c r="D7" s="159" t="str">
        <x:v>Mục tiêu: định lượng mối liên hệ giữa khoảng cách tới trường (X, km) và giá thuê trọ (Y, triệu VNĐ/tháng).
Mô hình: Yi = β0 + β1Xi + εi
Phương pháp: Ordinary Least Squares (OLS).</x:v>
      </x:c>
      <x:c r="F7" s="351" t="str">
        <x:v>Gợi ý trình bày: “Em phụ trách kiểm tra và làm sạch dữ liệu, xây file Excel tính các ước lượng OLS, tách KTX khỏi mẫu hồi quy theo đúng cơ chế hình thành giá, và diễn giải kết quả.”
Chỉ giữ những ý đúng với phần bạn thực sự đã làm.</x:v>
      </x:c>
      <x:c r="G7" s="352" t="str">
        <x:v>Gợi ý trình bày: “Em phụ trách kiểm tra và làm sạch dữ liệu, xây file Excel tính các ước lượng OLS, tách KTX khỏi mẫu hồi quy theo đúng cơ chế hình thành giá, và diễn giải kết quả.”
Chỉ giữ những ý đúng với phần bạn thực sự đã làm.</x:v>
      </x:c>
      <x:c r="H7" s="352" t="str">
        <x:v>Gợi ý trình bày: “Em phụ trách kiểm tra và làm sạch dữ liệu, xây file Excel tính các ước lượng OLS, tách KTX khỏi mẫu hồi quy theo đúng cơ chế hình thành giá, và diễn giải kết quả.”
Chỉ giữ những ý đúng với phần bạn thực sự đã làm.</x:v>
      </x:c>
      <x:c r="I7" s="353" t="str">
        <x:v>Gợi ý trình bày: “Em phụ trách kiểm tra và làm sạch dữ liệu, xây file Excel tính các ước lượng OLS, tách KTX khỏi mẫu hồi quy theo đúng cơ chế hình thành giá, và diễn giải kết quả.”
Chỉ giữ những ý đúng với phần bạn thực sự đã làm.</x:v>
      </x:c>
      <x:c r="K7" s="375" t="str">
        <x:v>KTX (mô tả)</x:v>
      </x:c>
      <x:c r="L7" s="76" t="n">
        <x:v>45</x:v>
      </x:c>
      <x:c r="M7" s="74" t="str">
        <x:v>dòng</x:v>
      </x:c>
      <x:c r="N7" s="172" t="str"/>
    </x:row>
    <x:row r="8">
      <x:c r="A8" s="160" t="str">
        <x:v>Mục tiêu: định lượng mối liên hệ giữa khoảng cách tới trường (X, km) và giá thuê trọ (Y, triệu VNĐ/tháng).
Mô hình: Yi = β0 + β1Xi + εi
Phương pháp: Ordinary Least Squares (OLS).</x:v>
      </x:c>
      <x:c r="B8" s="308" t="str">
        <x:v>Mục tiêu: định lượng mối liên hệ giữa khoảng cách tới trường (X, km) và giá thuê trọ (Y, triệu VNĐ/tháng).
Mô hình: Yi = β0 + β1Xi + εi
Phương pháp: Ordinary Least Squares (OLS).</x:v>
      </x:c>
      <x:c r="C8" s="308" t="str">
        <x:v>Mục tiêu: định lượng mối liên hệ giữa khoảng cách tới trường (X, km) và giá thuê trọ (Y, triệu VNĐ/tháng).
Mô hình: Yi = β0 + β1Xi + εi
Phương pháp: Ordinary Least Squares (OLS).</x:v>
      </x:c>
      <x:c r="D8" s="161" t="str">
        <x:v>Mục tiêu: định lượng mối liên hệ giữa khoảng cách tới trường (X, km) và giá thuê trọ (Y, triệu VNĐ/tháng).
Mô hình: Yi = β0 + β1Xi + εi
Phương pháp: Ordinary Least Squares (OLS).</x:v>
      </x:c>
      <x:c r="F8" s="354" t="str">
        <x:v>Gợi ý trình bày: “Em phụ trách kiểm tra và làm sạch dữ liệu, xây file Excel tính các ước lượng OLS, tách KTX khỏi mẫu hồi quy theo đúng cơ chế hình thành giá, và diễn giải kết quả.”
Chỉ giữ những ý đúng với phần bạn thực sự đã làm.</x:v>
      </x:c>
      <x:c r="G8" s="355" t="str">
        <x:v>Gợi ý trình bày: “Em phụ trách kiểm tra và làm sạch dữ liệu, xây file Excel tính các ước lượng OLS, tách KTX khỏi mẫu hồi quy theo đúng cơ chế hình thành giá, và diễn giải kết quả.”
Chỉ giữ những ý đúng với phần bạn thực sự đã làm.</x:v>
      </x:c>
      <x:c r="H8" s="355" t="str">
        <x:v>Gợi ý trình bày: “Em phụ trách kiểm tra và làm sạch dữ liệu, xây file Excel tính các ước lượng OLS, tách KTX khỏi mẫu hồi quy theo đúng cơ chế hình thành giá, và diễn giải kết quả.”
Chỉ giữ những ý đúng với phần bạn thực sự đã làm.</x:v>
      </x:c>
      <x:c r="I8" s="356" t="str">
        <x:v>Gợi ý trình bày: “Em phụ trách kiểm tra và làm sạch dữ liệu, xây file Excel tính các ước lượng OLS, tách KTX khỏi mẫu hồi quy theo đúng cơ chế hình thành giá, và diễn giải kết quả.”
Chỉ giữ những ý đúng với phần bạn thực sự đã làm.</x:v>
      </x:c>
      <x:c r="K8" s="376" t="str">
        <x:v>Trọ ngoài (hồi quy)</x:v>
      </x:c>
      <x:c r="L8" s="381" t="n">
        <x:v>127</x:v>
      </x:c>
      <x:c r="M8" s="369" t="str">
        <x:v>dòng</x:v>
      </x:c>
      <x:c r="N8" s="174" t="str"/>
    </x:row>
    <x:row r="10" ht="24" customHeight="1">
      <x:c r="A10" s="68" t="str">
        <x:v>Kết quả chính</x:v>
      </x:c>
      <x:c r="B10" s="68" t="str">
        <x:v>Kết quả chính</x:v>
      </x:c>
      <x:c r="C10" s="68" t="str">
        <x:v>Kết quả chính</x:v>
      </x:c>
      <x:c r="D10" s="68" t="str">
        <x:v>Kết quả chính</x:v>
      </x:c>
    </x:row>
    <x:row r="11">
      <x:c r="A11" s="42" t="str">
        <x:v>Chỉ số</x:v>
      </x:c>
      <x:c r="B11" s="42" t="str">
        <x:v>Giá trị</x:v>
      </x:c>
      <x:c r="C11" s="42" t="str">
        <x:v>Đơn vị</x:v>
      </x:c>
      <x:c r="D11" s="42" t="str">
        <x:v>Cách đọc</x:v>
      </x:c>
    </x:row>
    <x:row r="12">
      <x:c r="A12" s="106" t="str">
        <x:v>β̂0</x:v>
      </x:c>
      <x:c r="B12" s="394" t="n">
        <x:f>'UocLuongOLS'!B14</x:f>
        <x:v>2.8329786632424963</x:v>
      </x:c>
      <x:c r="C12" s="106" t="str">
        <x:v>triệu</x:v>
      </x:c>
      <x:c r="D12" s="106" t="str">
        <x:v>Điểm chặn</x:v>
      </x:c>
    </x:row>
    <x:row r="13">
      <x:c r="A13" s="108" t="str">
        <x:v>β̂1</x:v>
      </x:c>
      <x:c r="B13" s="395" t="n">
        <x:f>'UocLuongOLS'!B13</x:f>
        <x:v>-0.17534962476048546</x:v>
      </x:c>
      <x:c r="C13" s="108" t="str">
        <x:v>triệu/km</x:v>
      </x:c>
      <x:c r="D13" s="108" t="str">
        <x:v>Mức thay đổi khi xa thêm 1 km</x:v>
      </x:c>
    </x:row>
    <x:row r="14">
      <x:c r="A14" s="108" t="str">
        <x:v>R²</x:v>
      </x:c>
      <x:c r="B14" s="396" t="n">
        <x:f>'UocLuongOLS'!B30</x:f>
        <x:v>0.4363454362036019</x:v>
      </x:c>
      <x:c r="C14" s="108" t="str"/>
      <x:c r="D14" s="108" t="str">
        <x:v>Tỷ lệ biến thiên được giải thích</x:v>
      </x:c>
    </x:row>
    <x:row r="15">
      <x:c r="A15" s="108" t="str">
        <x:v>p-value β̂1</x:v>
      </x:c>
      <x:c r="B15" s="120" t="n">
        <x:f>'UocLuongOLS'!B26</x:f>
        <x:v>2.9288920065525216e-17</x:v>
      </x:c>
      <x:c r="C15" s="108" t="str"/>
      <x:c r="D15" s="108" t="str">
        <x:v>Kiểm định H0: β1 = 0</x:v>
      </x:c>
    </x:row>
    <x:row r="17">
      <x:c r="A17" s="436" t="str">
        <x:f>"Ŷ = "&amp;TEXT('UocLuongOLS'!B14,"0.000")&amp;IF('UocLuongOLS'!B13&lt;0," − "," + ")&amp;TEXT(ABS('UocLuongOLS'!B13),"0.000")&amp;" × X"</x:f>
        <x:v>Ŷ = 2.833 − 0.175 × X</x:v>
      </x:c>
      <x:c r="B17" s="437"/>
      <x:c r="C17" s="437"/>
      <x:c r="D17" s="438"/>
    </x:row>
    <x:row r="18">
      <x:c r="A18" s="439"/>
      <x:c r="B18" s="440"/>
      <x:c r="C18" s="440"/>
      <x:c r="D18" s="441"/>
    </x:row>
    <x:row r="19">
      <x:c r="A19" s="442"/>
      <x:c r="B19" s="443"/>
      <x:c r="C19" s="443"/>
      <x:c r="D19" s="444"/>
    </x:row>
    <x:row r="21">
      <x:c r="A21" s="464" t="str">
        <x:v>KẾT LUẬN
Trong nhóm phòng trọ ngoài KTX, khi khoảng cách tăng 1 km, giá thuê trung bình giảm khoảng 0,175 triệu VNĐ/tháng (≈175.000 đồng).
R² ≈ 43,63%: khoảng cách giải thích một phần đáng kể nhưng không phải toàn bộ giá thuê; loại phòng, nội thất và khu vực vẫn quan trọng.
Đây là mối liên hệ thống kê, không tự động khẳng định quan hệ nhân quả.</x:v>
      </x:c>
      <x:c r="B21" s="465" t="str">
        <x:v>KẾT LUẬN
Trong nhóm phòng trọ ngoài KTX, khi khoảng cách tăng 1 km, giá thuê trung bình giảm khoảng 0,175 triệu VNĐ/tháng (≈175.000 đồng).
R² ≈ 43,63%: khoảng cách giải thích một phần đáng kể nhưng không phải toàn bộ giá thuê; loại phòng, nội thất và khu vực vẫn quan trọng.
Đây là mối liên hệ thống kê, không tự động khẳng định quan hệ nhân quả.</x:v>
      </x:c>
      <x:c r="C21" s="465" t="str">
        <x:v>KẾT LUẬN
Trong nhóm phòng trọ ngoài KTX, khi khoảng cách tăng 1 km, giá thuê trung bình giảm khoảng 0,175 triệu VNĐ/tháng (≈175.000 đồng).
R² ≈ 43,63%: khoảng cách giải thích một phần đáng kể nhưng không phải toàn bộ giá thuê; loại phòng, nội thất và khu vực vẫn quan trọng.
Đây là mối liên hệ thống kê, không tự động khẳng định quan hệ nhân quả.</x:v>
      </x:c>
      <x:c r="D21" s="466" t="str">
        <x:v>KẾT LUẬN
Trong nhóm phòng trọ ngoài KTX, khi khoảng cách tăng 1 km, giá thuê trung bình giảm khoảng 0,175 triệu VNĐ/tháng (≈175.000 đồng).
R² ≈ 43,63%: khoảng cách giải thích một phần đáng kể nhưng không phải toàn bộ giá thuê; loại phòng, nội thất và khu vực vẫn quan trọng.
Đây là mối liên hệ thống kê, không tự động khẳng định quan hệ nhân quả.</x:v>
      </x:c>
    </x:row>
    <x:row r="22">
      <x:c r="A22" s="190" t="str">
        <x:v>KẾT LUẬN
Trong nhóm phòng trọ ngoài KTX, khi khoảng cách tăng 1 km, giá thuê trung bình giảm khoảng 0,175 triệu VNĐ/tháng (≈175.000 đồng).
R² ≈ 43,63%: khoảng cách giải thích một phần đáng kể nhưng không phải toàn bộ giá thuê; loại phòng, nội thất và khu vực vẫn quan trọng.
Đây là mối liên hệ thống kê, không tự động khẳng định quan hệ nhân quả.</x:v>
      </x:c>
      <x:c r="B22" s="467" t="str">
        <x:v>KẾT LUẬN
Trong nhóm phòng trọ ngoài KTX, khi khoảng cách tăng 1 km, giá thuê trung bình giảm khoảng 0,175 triệu VNĐ/tháng (≈175.000 đồng).
R² ≈ 43,63%: khoảng cách giải thích một phần đáng kể nhưng không phải toàn bộ giá thuê; loại phòng, nội thất và khu vực vẫn quan trọng.
Đây là mối liên hệ thống kê, không tự động khẳng định quan hệ nhân quả.</x:v>
      </x:c>
      <x:c r="C22" s="467" t="str">
        <x:v>KẾT LUẬN
Trong nhóm phòng trọ ngoài KTX, khi khoảng cách tăng 1 km, giá thuê trung bình giảm khoảng 0,175 triệu VNĐ/tháng (≈175.000 đồng).
R² ≈ 43,63%: khoảng cách giải thích một phần đáng kể nhưng không phải toàn bộ giá thuê; loại phòng, nội thất và khu vực vẫn quan trọng.
Đây là mối liên hệ thống kê, không tự động khẳng định quan hệ nhân quả.</x:v>
      </x:c>
      <x:c r="D22" s="192" t="str">
        <x:v>KẾT LUẬN
Trong nhóm phòng trọ ngoài KTX, khi khoảng cách tăng 1 km, giá thuê trung bình giảm khoảng 0,175 triệu VNĐ/tháng (≈175.000 đồng).
R² ≈ 43,63%: khoảng cách giải thích một phần đáng kể nhưng không phải toàn bộ giá thuê; loại phòng, nội thất và khu vực vẫn quan trọng.
Đây là mối liên hệ thống kê, không tự động khẳng định quan hệ nhân quả.</x:v>
      </x:c>
    </x:row>
    <x:row r="23">
      <x:c r="A23" s="190" t="str">
        <x:v>KẾT LUẬN
Trong nhóm phòng trọ ngoài KTX, khi khoảng cách tăng 1 km, giá thuê trung bình giảm khoảng 0,175 triệu VNĐ/tháng (≈175.000 đồng).
R² ≈ 43,63%: khoảng cách giải thích một phần đáng kể nhưng không phải toàn bộ giá thuê; loại phòng, nội thất và khu vực vẫn quan trọng.
Đây là mối liên hệ thống kê, không tự động khẳng định quan hệ nhân quả.</x:v>
      </x:c>
      <x:c r="B23" s="467" t="str">
        <x:v>KẾT LUẬN
Trong nhóm phòng trọ ngoài KTX, khi khoảng cách tăng 1 km, giá thuê trung bình giảm khoảng 0,175 triệu VNĐ/tháng (≈175.000 đồng).
R² ≈ 43,63%: khoảng cách giải thích một phần đáng kể nhưng không phải toàn bộ giá thuê; loại phòng, nội thất và khu vực vẫn quan trọng.
Đây là mối liên hệ thống kê, không tự động khẳng định quan hệ nhân quả.</x:v>
      </x:c>
      <x:c r="C23" s="467" t="str">
        <x:v>KẾT LUẬN
Trong nhóm phòng trọ ngoài KTX, khi khoảng cách tăng 1 km, giá thuê trung bình giảm khoảng 0,175 triệu VNĐ/tháng (≈175.000 đồng).
R² ≈ 43,63%: khoảng cách giải thích một phần đáng kể nhưng không phải toàn bộ giá thuê; loại phòng, nội thất và khu vực vẫn quan trọng.
Đây là mối liên hệ thống kê, không tự động khẳng định quan hệ nhân quả.</x:v>
      </x:c>
      <x:c r="D23" s="192" t="str">
        <x:v>KẾT LUẬN
Trong nhóm phòng trọ ngoài KTX, khi khoảng cách tăng 1 km, giá thuê trung bình giảm khoảng 0,175 triệu VNĐ/tháng (≈175.000 đồng).
R² ≈ 43,63%: khoảng cách giải thích một phần đáng kể nhưng không phải toàn bộ giá thuê; loại phòng, nội thất và khu vực vẫn quan trọng.
Đây là mối liên hệ thống kê, không tự động khẳng định quan hệ nhân quả.</x:v>
      </x:c>
    </x:row>
    <x:row r="24">
      <x:c r="A24" s="190" t="str">
        <x:v>KẾT LUẬN
Trong nhóm phòng trọ ngoài KTX, khi khoảng cách tăng 1 km, giá thuê trung bình giảm khoảng 0,175 triệu VNĐ/tháng (≈175.000 đồng).
R² ≈ 43,63%: khoảng cách giải thích một phần đáng kể nhưng không phải toàn bộ giá thuê; loại phòng, nội thất và khu vực vẫn quan trọng.
Đây là mối liên hệ thống kê, không tự động khẳng định quan hệ nhân quả.</x:v>
      </x:c>
      <x:c r="B24" s="467" t="str">
        <x:v>KẾT LUẬN
Trong nhóm phòng trọ ngoài KTX, khi khoảng cách tăng 1 km, giá thuê trung bình giảm khoảng 0,175 triệu VNĐ/tháng (≈175.000 đồng).
R² ≈ 43,63%: khoảng cách giải thích một phần đáng kể nhưng không phải toàn bộ giá thuê; loại phòng, nội thất và khu vực vẫn quan trọng.
Đây là mối liên hệ thống kê, không tự động khẳng định quan hệ nhân quả.</x:v>
      </x:c>
      <x:c r="C24" s="467" t="str">
        <x:v>KẾT LUẬN
Trong nhóm phòng trọ ngoài KTX, khi khoảng cách tăng 1 km, giá thuê trung bình giảm khoảng 0,175 triệu VNĐ/tháng (≈175.000 đồng).
R² ≈ 43,63%: khoảng cách giải thích một phần đáng kể nhưng không phải toàn bộ giá thuê; loại phòng, nội thất và khu vực vẫn quan trọng.
Đây là mối liên hệ thống kê, không tự động khẳng định quan hệ nhân quả.</x:v>
      </x:c>
      <x:c r="D24" s="192" t="str">
        <x:v>KẾT LUẬN
Trong nhóm phòng trọ ngoài KTX, khi khoảng cách tăng 1 km, giá thuê trung bình giảm khoảng 0,175 triệu VNĐ/tháng (≈175.000 đồng).
R² ≈ 43,63%: khoảng cách giải thích một phần đáng kể nhưng không phải toàn bộ giá thuê; loại phòng, nội thất và khu vực vẫn quan trọng.
Đây là mối liên hệ thống kê, không tự động khẳng định quan hệ nhân quả.</x:v>
      </x:c>
    </x:row>
    <x:row r="25">
      <x:c r="A25" s="190" t="str">
        <x:v>KẾT LUẬN
Trong nhóm phòng trọ ngoài KTX, khi khoảng cách tăng 1 km, giá thuê trung bình giảm khoảng 0,175 triệu VNĐ/tháng (≈175.000 đồng).
R² ≈ 43,63%: khoảng cách giải thích một phần đáng kể nhưng không phải toàn bộ giá thuê; loại phòng, nội thất và khu vực vẫn quan trọng.
Đây là mối liên hệ thống kê, không tự động khẳng định quan hệ nhân quả.</x:v>
      </x:c>
      <x:c r="B25" s="467" t="str">
        <x:v>KẾT LUẬN
Trong nhóm phòng trọ ngoài KTX, khi khoảng cách tăng 1 km, giá thuê trung bình giảm khoảng 0,175 triệu VNĐ/tháng (≈175.000 đồng).
R² ≈ 43,63%: khoảng cách giải thích một phần đáng kể nhưng không phải toàn bộ giá thuê; loại phòng, nội thất và khu vực vẫn quan trọng.
Đây là mối liên hệ thống kê, không tự động khẳng định quan hệ nhân quả.</x:v>
      </x:c>
      <x:c r="C25" s="467" t="str">
        <x:v>KẾT LUẬN
Trong nhóm phòng trọ ngoài KTX, khi khoảng cách tăng 1 km, giá thuê trung bình giảm khoảng 0,175 triệu VNĐ/tháng (≈175.000 đồng).
R² ≈ 43,63%: khoảng cách giải thích một phần đáng kể nhưng không phải toàn bộ giá thuê; loại phòng, nội thất và khu vực vẫn quan trọng.
Đây là mối liên hệ thống kê, không tự động khẳng định quan hệ nhân quả.</x:v>
      </x:c>
      <x:c r="D25" s="192" t="str">
        <x:v>KẾT LUẬN
Trong nhóm phòng trọ ngoài KTX, khi khoảng cách tăng 1 km, giá thuê trung bình giảm khoảng 0,175 triệu VNĐ/tháng (≈175.000 đồng).
R² ≈ 43,63%: khoảng cách giải thích một phần đáng kể nhưng không phải toàn bộ giá thuê; loại phòng, nội thất và khu vực vẫn quan trọng.
Đây là mối liên hệ thống kê, không tự động khẳng định quan hệ nhân quả.</x:v>
      </x:c>
    </x:row>
    <x:row r="26">
      <x:c r="A26" s="193" t="str">
        <x:v>KẾT LUẬN
Trong nhóm phòng trọ ngoài KTX, khi khoảng cách tăng 1 km, giá thuê trung bình giảm khoảng 0,175 triệu VNĐ/tháng (≈175.000 đồng).
R² ≈ 43,63%: khoảng cách giải thích một phần đáng kể nhưng không phải toàn bộ giá thuê; loại phòng, nội thất và khu vực vẫn quan trọng.
Đây là mối liên hệ thống kê, không tự động khẳng định quan hệ nhân quả.</x:v>
      </x:c>
      <x:c r="B26" s="200" t="str">
        <x:v>KẾT LUẬN
Trong nhóm phòng trọ ngoài KTX, khi khoảng cách tăng 1 km, giá thuê trung bình giảm khoảng 0,175 triệu VNĐ/tháng (≈175.000 đồng).
R² ≈ 43,63%: khoảng cách giải thích một phần đáng kể nhưng không phải toàn bộ giá thuê; loại phòng, nội thất và khu vực vẫn quan trọng.
Đây là mối liên hệ thống kê, không tự động khẳng định quan hệ nhân quả.</x:v>
      </x:c>
      <x:c r="C26" s="200" t="str">
        <x:v>KẾT LUẬN
Trong nhóm phòng trọ ngoài KTX, khi khoảng cách tăng 1 km, giá thuê trung bình giảm khoảng 0,175 triệu VNĐ/tháng (≈175.000 đồng).
R² ≈ 43,63%: khoảng cách giải thích một phần đáng kể nhưng không phải toàn bộ giá thuê; loại phòng, nội thất và khu vực vẫn quan trọng.
Đây là mối liên hệ thống kê, không tự động khẳng định quan hệ nhân quả.</x:v>
      </x:c>
      <x:c r="D26" s="194" t="str">
        <x:v>KẾT LUẬN
Trong nhóm phòng trọ ngoài KTX, khi khoảng cách tăng 1 km, giá thuê trung bình giảm khoảng 0,175 triệu VNĐ/tháng (≈175.000 đồng).
R² ≈ 43,63%: khoảng cách giải thích một phần đáng kể nhưng không phải toàn bộ giá thuê; loại phòng, nội thất và khu vực vẫn quan trọng.
Đây là mối liên hệ thống kê, không tự động khẳng định quan hệ nhân quả.</x:v>
      </x:c>
    </x:row>
    <x:row r="29" ht="24" customHeight="1">
      <x:c r="F29" s="68" t="str">
        <x:v>Thứ tự mở file khi trình bày</x:v>
      </x:c>
      <x:c r="G29" s="68" t="str">
        <x:v>Thứ tự mở file khi trình bày</x:v>
      </x:c>
      <x:c r="H29" s="68" t="str">
        <x:v>Thứ tự mở file khi trình bày</x:v>
      </x:c>
      <x:c r="I29" s="68" t="str">
        <x:v>Thứ tự mở file khi trình bày</x:v>
      </x:c>
      <x:c r="J29" s="68" t="str">
        <x:v>Thứ tự mở file khi trình bày</x:v>
      </x:c>
      <x:c r="K29" s="68" t="str">
        <x:v>Thứ tự mở file khi trình bày</x:v>
      </x:c>
      <x:c r="L29" s="68" t="str">
        <x:v>Thứ tự mở file khi trình bày</x:v>
      </x:c>
      <x:c r="M29" s="68" t="str">
        <x:v>Thứ tự mở file khi trình bày</x:v>
      </x:c>
      <x:c r="N29" s="68" t="str">
        <x:v>Thứ tự mở file khi trình bày</x:v>
      </x:c>
    </x:row>
    <x:row r="30">
      <x:c r="F30" s="476" t="str">
        <x:v>1</x:v>
      </x:c>
      <x:c r="G30" s="477" t="str">
        <x:v>TrinhBay</x:v>
      </x:c>
      <x:c r="H30" s="98" t="str">
        <x:v>Nêu đề tài, biến X/Y, phần việc cá nhân và kết quả chính</x:v>
      </x:c>
      <x:c r="I30" s="98" t="str"/>
      <x:c r="J30" s="98" t="str"/>
      <x:c r="K30" s="98" t="str"/>
      <x:c r="L30" s="98" t="str"/>
      <x:c r="M30" s="98" t="str"/>
      <x:c r="N30" s="98" t="str"/>
    </x:row>
    <x:row r="31">
      <x:c r="F31" s="478" t="str">
        <x:v>2</x:v>
      </x:c>
      <x:c r="G31" s="479" t="str">
        <x:v>LamSach</x:v>
      </x:c>
      <x:c r="H31" s="100" t="str">
        <x:v>Giải thích 262 → 172 và nguyên tắc sửa/loại</x:v>
      </x:c>
      <x:c r="I31" s="100" t="str"/>
      <x:c r="J31" s="100" t="str"/>
      <x:c r="K31" s="100" t="str"/>
      <x:c r="L31" s="100" t="str"/>
      <x:c r="M31" s="100" t="str"/>
      <x:c r="N31" s="100" t="str"/>
    </x:row>
    <x:row r="32">
      <x:c r="F32" s="478" t="str">
        <x:v>3</x:v>
      </x:c>
      <x:c r="G32" s="479" t="str">
        <x:v>SoSanhMau</x:v>
      </x:c>
      <x:c r="H32" s="100" t="str">
        <x:v>Chứng minh vì sao tách KTX; tránh bị hỏi về 45 dòng</x:v>
      </x:c>
      <x:c r="I32" s="100" t="str"/>
      <x:c r="J32" s="100" t="str"/>
      <x:c r="K32" s="100" t="str"/>
      <x:c r="L32" s="100" t="str"/>
      <x:c r="M32" s="100" t="str"/>
      <x:c r="N32" s="100" t="str"/>
    </x:row>
    <x:row r="33">
      <x:c r="F33" s="478" t="str">
        <x:v>4</x:v>
      </x:c>
      <x:c r="G33" s="479" t="str">
        <x:v>UocLuongOLS</x:v>
      </x:c>
      <x:c r="H33" s="100" t="str">
        <x:v>Viết và tính β̂1, β̂0, s², SE, t, p, CI, R²</x:v>
      </x:c>
      <x:c r="I33" s="100" t="str"/>
      <x:c r="J33" s="100" t="str"/>
      <x:c r="K33" s="100" t="str"/>
      <x:c r="L33" s="100" t="str"/>
      <x:c r="M33" s="100" t="str"/>
      <x:c r="N33" s="100" t="str"/>
    </x:row>
    <x:row r="34">
      <x:c r="F34" s="478" t="str">
        <x:v>5</x:v>
      </x:c>
      <x:c r="G34" s="479" t="str">
        <x:v>MauHoiQuy</x:v>
      </x:c>
      <x:c r="H34" s="100" t="str">
        <x:v>Bấm vào vài ô để chứng minh công thức Excel sống</x:v>
      </x:c>
      <x:c r="I34" s="100" t="str"/>
      <x:c r="J34" s="100" t="str"/>
      <x:c r="K34" s="100" t="str"/>
      <x:c r="L34" s="100" t="str"/>
      <x:c r="M34" s="100" t="str"/>
      <x:c r="N34" s="100" t="str"/>
    </x:row>
    <x:row r="35">
      <x:c r="F35" s="480" t="str">
        <x:v>6</x:v>
      </x:c>
      <x:c r="G35" s="481" t="str">
        <x:v>BangNoi</x:v>
      </x:c>
      <x:c r="H35" s="482" t="str">
        <x:v>Dùng làm phao luyện nói trước khi lên bảng</x:v>
      </x:c>
      <x:c r="I35" s="482" t="str"/>
      <x:c r="J35" s="482" t="str"/>
      <x:c r="K35" s="482" t="str"/>
      <x:c r="L35" s="482" t="str"/>
      <x:c r="M35" s="482" t="str"/>
      <x:c r="N35" s="482" t="str"/>
    </x:row>
  </x:sheetData>
  <x:mergeCells>
    <x:mergeCell ref="A1:N1"/>
    <x:mergeCell ref="A2:N2"/>
    <x:mergeCell ref="A4:D4"/>
    <x:mergeCell ref="A5:D8"/>
    <x:mergeCell ref="F4:I4"/>
    <x:mergeCell ref="F5:I8"/>
    <x:mergeCell ref="K4:N4"/>
    <x:mergeCell ref="A10:D10"/>
    <x:mergeCell ref="A17:D19"/>
    <x:mergeCell ref="A21:D26"/>
    <x:mergeCell ref="F29:N29"/>
  </x:mergeCells>
  <x:pageMargins left="0.7" right="0.7" top="0.75" bottom="0.75" header="0.3" footer="0.3"/>
  <x:drawing xmlns:r="http://schemas.openxmlformats.org/officeDocument/2006/relationships" r:id="R17dc08a3063e4818"/>
</x:worksheet>
</file>

<file path=xl/worksheets/sheet3.xml><?xml version="1.0" encoding="utf-8"?>
<x:worksheet xmlns:x="http://schemas.openxmlformats.org/spreadsheetml/2006/main">
  <x:sheetViews>
    <x:sheetView showGridLines="0" workbookViewId="0"/>
  </x:sheetViews>
  <x:sheetFormatPr defaultRowHeight="15"/>
  <x:cols>
    <x:col min="1" max="1" width="25" hidden="0" customWidth="1"/>
    <x:col min="2" max="2" width="24" hidden="0" customWidth="1"/>
    <x:col min="3" max="3" width="28" hidden="0" customWidth="1"/>
    <x:col min="4" max="4" width="34" hidden="0" customWidth="1"/>
    <x:col min="5" max="5" width="24" hidden="0" customWidth="1"/>
    <x:col min="6" max="6" width="38" hidden="0" customWidth="1"/>
  </x:cols>
  <x:sheetData>
    <x:row r="1" ht="34" customHeight="1">
      <x:c r="A1" s="64" t="str">
        <x:v>QUY TRÌNH LÀM SẠCH DỮ LIỆU KHẢO SÁT</x:v>
      </x:c>
      <x:c r="B1" s="64" t="str">
        <x:v>QUY TRÌNH LÀM SẠCH DỮ LIỆU KHẢO SÁT</x:v>
      </x:c>
      <x:c r="C1" s="64" t="str">
        <x:v>QUY TRÌNH LÀM SẠCH DỮ LIỆU KHẢO SÁT</x:v>
      </x:c>
      <x:c r="D1" s="64" t="str">
        <x:v>QUY TRÌNH LÀM SẠCH DỮ LIỆU KHẢO SÁT</x:v>
      </x:c>
      <x:c r="E1" s="64" t="str">
        <x:v>QUY TRÌNH LÀM SẠCH DỮ LIỆU KHẢO SÁT</x:v>
      </x:c>
      <x:c r="F1" s="64" t="str">
        <x:v>QUY TRÌNH LÀM SẠCH DỮ LIỆU KHẢO SÁT</x:v>
      </x:c>
    </x:row>
    <x:row r="3" ht="24" customHeight="1">
      <x:c r="A3" s="68" t="str">
        <x:v>Kết quả kiểm tra dữ liệu</x:v>
      </x:c>
      <x:c r="B3" s="68" t="str">
        <x:v>Kết quả kiểm tra dữ liệu</x:v>
      </x:c>
      <x:c r="C3" s="68" t="str">
        <x:v>Kết quả kiểm tra dữ liệu</x:v>
      </x:c>
      <x:c r="D3" s="68" t="str">
        <x:v>Kết quả kiểm tra dữ liệu</x:v>
      </x:c>
      <x:c r="E3" s="68" t="str">
        <x:v>Kết quả kiểm tra dữ liệu</x:v>
      </x:c>
      <x:c r="F3" s="68" t="str">
        <x:v>Kết quả kiểm tra dữ liệu</x:v>
      </x:c>
    </x:row>
    <x:row r="5">
      <x:c r="A5" s="138" t="str">
        <x:v>Chỉ số</x:v>
      </x:c>
      <x:c r="B5" s="138" t="str">
        <x:v>Giá trị</x:v>
      </x:c>
      <x:c r="D5" s="166" t="str">
        <x:v>Chỉ số</x:v>
      </x:c>
      <x:c r="E5" s="166" t="str">
        <x:v>Giá trị</x:v>
      </x:c>
    </x:row>
    <x:row r="6">
      <x:c r="A6" s="158" t="str">
        <x:v>Số dòng dữ liệu gốc</x:v>
      </x:c>
      <x:c r="B6" s="159" t="n">
        <x:v>262</x:v>
      </x:c>
      <x:c r="D6" s="190" t="str">
        <x:v>Tỷ lệ giữ lại</x:v>
      </x:c>
      <x:c r="E6" s="191" t="n">
        <x:f>B7/B6</x:f>
        <x:v>0.6564885496183206</x:v>
      </x:c>
    </x:row>
    <x:row r="7">
      <x:c r="A7" s="158" t="str">
        <x:v>Số dòng hợp lệ sau làm sạch</x:v>
      </x:c>
      <x:c r="B7" s="159" t="n">
        <x:v>172</x:v>
      </x:c>
      <x:c r="D7" s="190" t="str">
        <x:v>Số bản ghi KTX</x:v>
      </x:c>
      <x:c r="E7" s="192" t="n">
        <x:v>45</x:v>
      </x:c>
    </x:row>
    <x:row r="8">
      <x:c r="A8" s="160" t="str">
        <x:v>Số dòng bị loại</x:v>
      </x:c>
      <x:c r="B8" s="161" t="n">
        <x:f>B6-B7</x:f>
        <x:v>90</x:v>
      </x:c>
      <x:c r="D8" s="193" t="str">
        <x:v>Số bản ghi trọ ngoài dùng hồi quy</x:v>
      </x:c>
      <x:c r="E8" s="194" t="n">
        <x:v>127</x:v>
      </x:c>
    </x:row>
    <x:row r="10" ht="24" customHeight="1">
      <x:c r="A10" s="68" t="str">
        <x:v>Nguyên tắc xử lý — không tự bịa dữ liệu</x:v>
      </x:c>
      <x:c r="B10" s="68" t="str">
        <x:v>Nguyên tắc xử lý — không tự bịa dữ liệu</x:v>
      </x:c>
      <x:c r="C10" s="68" t="str">
        <x:v>Nguyên tắc xử lý — không tự bịa dữ liệu</x:v>
      </x:c>
      <x:c r="D10" s="68" t="str">
        <x:v>Nguyên tắc xử lý — không tự bịa dữ liệu</x:v>
      </x:c>
      <x:c r="E10" s="68" t="str">
        <x:v>Nguyên tắc xử lý — không tự bịa dữ liệu</x:v>
      </x:c>
      <x:c r="F10" s="68" t="str">
        <x:v>Nguyên tắc xử lý — không tự bịa dữ liệu</x:v>
      </x:c>
    </x:row>
    <x:row r="11">
      <x:c r="A11" s="42" t="str">
        <x:v>Nhóm lỗi</x:v>
      </x:c>
      <x:c r="B11" s="42" t="str">
        <x:v>Ví dụ</x:v>
      </x:c>
      <x:c r="C11" s="42" t="str">
        <x:v>Cách xử lý</x:v>
      </x:c>
      <x:c r="D11" s="42" t="str">
        <x:v>Lý do</x:v>
      </x:c>
      <x:c r="E11" s="42" t="str">
        <x:v>Ngưỡng/chuẩn</x:v>
      </x:c>
      <x:c r="F11" s="42" t="str">
        <x:v>Kết quả</x:v>
      </x:c>
    </x:row>
    <x:row r="12">
      <x:c r="A12" s="126" t="str">
        <x:v>Sai định dạng số</x:v>
      </x:c>
      <x:c r="B12" s="126" t="str">
        <x:v>2,5; 2.5km; 3tr</x:v>
      </x:c>
      <x:c r="C12" s="126" t="str">
        <x:v>Chuẩn hóa về số</x:v>
      </x:c>
      <x:c r="D12" s="126" t="str">
        <x:v>Vẫn suy ra được giá trị</x:v>
      </x:c>
      <x:c r="E12" s="126" t="str">
        <x:v>Đổi dấu phẩy, bỏ đơn vị</x:v>
      </x:c>
      <x:c r="F12" s="200" t="str">
        <x:v>Giữ dòng</x:v>
      </x:c>
    </x:row>
    <x:row r="13">
      <x:c r="A13" s="127" t="str">
        <x:v>Khoảng trắng / hoa thường</x:v>
      </x:c>
      <x:c r="B13" s="127" t="str">
        <x:v> xe máy ; NAM</x:v>
      </x:c>
      <x:c r="C13" s="127" t="str">
        <x:v>Cắt khoảng trắng, chuẩn hóa</x:v>
      </x:c>
      <x:c r="D13" s="127" t="str">
        <x:v>Không làm mất thông tin</x:v>
      </x:c>
      <x:c r="E13" s="127" t="str">
        <x:v>Theo danh mục chuẩn</x:v>
      </x:c>
      <x:c r="F13" s="201" t="str">
        <x:v>Giữ dòng</x:v>
      </x:c>
    </x:row>
    <x:row r="14">
      <x:c r="A14" s="127" t="str">
        <x:v>Mã sinh viên</x:v>
      </x:c>
      <x:c r="B14" s="127" t="str">
        <x:v>HE-185306</x:v>
      </x:c>
      <x:c r="C14" s="127" t="str">
        <x:v>Bỏ dấu gạch nếu còn đúng cấu trúc</x:v>
      </x:c>
      <x:c r="D14" s="127" t="str">
        <x:v>Khôi phục định dạng chắc chắn</x:v>
      </x:c>
      <x:c r="E14" s="127" t="str">
        <x:v>(HE|HS|HA|HC)+6 số</x:v>
      </x:c>
      <x:c r="F14" s="201" t="str">
        <x:v>Giữ dòng</x:v>
      </x:c>
    </x:row>
    <x:row r="15">
      <x:c r="A15" s="127" t="str">
        <x:v>Thiếu dữ liệu</x:v>
      </x:c>
      <x:c r="B15" s="127" t="str">
        <x:v>Bỏ trống trường bắt buộc</x:v>
      </x:c>
      <x:c r="C15" s="127" t="str">
        <x:v>Loại dòng</x:v>
      </x:c>
      <x:c r="D15" s="127" t="str">
        <x:v>Không có căn cứ điền thay</x:v>
      </x:c>
      <x:c r="E15" s="127" t="str">
        <x:v>Không được rỗng</x:v>
      </x:c>
      <x:c r="F15" s="204" t="str">
        <x:v>Loại</x:v>
      </x:c>
    </x:row>
    <x:row r="16">
      <x:c r="A16" s="127" t="str">
        <x:v>Giá trị phi lý</x:v>
      </x:c>
      <x:c r="B16" s="127" t="str">
        <x:v>Khoảng cách âm; giá 0</x:v>
      </x:c>
      <x:c r="C16" s="127" t="str">
        <x:v>Loại dòng</x:v>
      </x:c>
      <x:c r="D16" s="127" t="str">
        <x:v>Ngoài phạm vi khảo sát</x:v>
      </x:c>
      <x:c r="E16" s="127" t="str">
        <x:v>0&lt;X≤15; 0&lt;Y≤4</x:v>
      </x:c>
      <x:c r="F16" s="204" t="str">
        <x:v>Loại</x:v>
      </x:c>
    </x:row>
    <x:row r="17">
      <x:c r="A17" s="127" t="str">
        <x:v>Trùng mã sinh viên</x:v>
      </x:c>
      <x:c r="B17" s="127" t="str">
        <x:v>Hai dòng cùng Ma_SV</x:v>
      </x:c>
      <x:c r="C17" s="127" t="str">
        <x:v>Giữ một bản ghi</x:v>
      </x:c>
      <x:c r="D17" s="127" t="str">
        <x:v>Tránh đếm lặp</x:v>
      </x:c>
      <x:c r="E17" s="127" t="str">
        <x:v>Ma_SV duy nhất</x:v>
      </x:c>
      <x:c r="F17" s="204" t="str">
        <x:v>Loại trùng</x:v>
      </x:c>
    </x:row>
    <x:row r="19" ht="24" customHeight="1">
      <x:c r="A19" s="68" t="str">
        <x:v>Lý do tách KTX khỏi mô hình giá trọ thị trường</x:v>
      </x:c>
      <x:c r="B19" s="68" t="str">
        <x:v>Lý do tách KTX khỏi mô hình giá trọ thị trường</x:v>
      </x:c>
      <x:c r="C19" s="68" t="str">
        <x:v>Lý do tách KTX khỏi mô hình giá trọ thị trường</x:v>
      </x:c>
      <x:c r="D19" s="68" t="str">
        <x:v>Lý do tách KTX khỏi mô hình giá trọ thị trường</x:v>
      </x:c>
      <x:c r="E19" s="68" t="str">
        <x:v>Lý do tách KTX khỏi mô hình giá trọ thị trường</x:v>
      </x:c>
      <x:c r="F19" s="68" t="str">
        <x:v>Lý do tách KTX khỏi mô hình giá trọ thị trường</x:v>
      </x:c>
    </x:row>
    <x:row r="20">
      <x:c r="A20" s="42" t="str">
        <x:v>Điểm khác biệt</x:v>
      </x:c>
      <x:c r="B20" s="42" t="str">
        <x:v>KTX</x:v>
      </x:c>
      <x:c r="C20" s="42" t="str">
        <x:v>Trọ ngoài</x:v>
      </x:c>
      <x:c r="D20" s="42" t="str">
        <x:v>Hệ quả thống kê</x:v>
      </x:c>
      <x:c r="E20" s="42" t="str">
        <x:v>Quyết định</x:v>
      </x:c>
      <x:c r="F20" s="42" t="str">
        <x:v>Ghi chú khi trình bày</x:v>
      </x:c>
    </x:row>
    <x:row r="21">
      <x:c r="A21" s="126" t="str">
        <x:v>Cơ chế hình thành giá</x:v>
      </x:c>
      <x:c r="B21" s="126" t="str">
        <x:v>Nhà trường quy định</x:v>
      </x:c>
      <x:c r="C21" s="126" t="str">
        <x:v>Thị trường quyết định</x:v>
      </x:c>
      <x:c r="D21" s="126" t="str">
        <x:v>Không cùng một quá trình sinh dữ liệu</x:v>
      </x:c>
      <x:c r="E21" s="126" t="str">
        <x:v>Không gộp để ước lượng β</x:v>
      </x:c>
      <x:c r="F21" s="126" t="str">
        <x:v>Vẫn giữ trong dữ liệu sạch để mô tả</x:v>
      </x:c>
    </x:row>
    <x:row r="22">
      <x:c r="A22" s="127" t="str">
        <x:v>Khoảng cách</x:v>
      </x:c>
      <x:c r="B22" s="127" t="str">
        <x:v>Rất gần trường</x:v>
      </x:c>
      <x:c r="C22" s="127" t="str">
        <x:v>0,5–8,7 km</x:v>
      </x:c>
      <x:c r="D22" s="127" t="str">
        <x:v>KTX tạo cụm X nhỏ, Y thấp</x:v>
      </x:c>
      <x:c r="E22" s="127" t="str">
        <x:v>Tách 45 dòng KTX</x:v>
      </x:c>
      <x:c r="F22" s="127" t="str">
        <x:v>Tránh đảo dấu hệ số góc</x:v>
      </x:c>
    </x:row>
    <x:row r="23">
      <x:c r="A23" s="127" t="str">
        <x:v>Mục tiêu mô hình</x:v>
      </x:c>
      <x:c r="B23" s="127" t="str">
        <x:v>Không dự báo giá KTX</x:v>
      </x:c>
      <x:c r="C23" s="127" t="str">
        <x:v>Dự báo giá thuê trọ</x:v>
      </x:c>
      <x:c r="D23" s="127" t="str">
        <x:v>Mẫu phải khớp tổng thể nghiên cứu</x:v>
      </x:c>
      <x:c r="E23" s="127" t="str">
        <x:v>Dùng 127 trọ ngoài</x:v>
      </x:c>
      <x:c r="F23" s="127" t="str">
        <x:v>Đây là quyết định mô hình, không phải xóa dữ liệu tùy tiện</x:v>
      </x:c>
    </x:row>
  </x:sheetData>
  <x:mergeCells>
    <x:mergeCell ref="A1:F1"/>
    <x:mergeCell ref="A3:F3"/>
    <x:mergeCell ref="A10:F10"/>
    <x:mergeCell ref="A19:F19"/>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7" hidden="0" customWidth="1"/>
    <x:col min="2" max="2" width="13" hidden="0" customWidth="1"/>
    <x:col min="3" max="3" width="14" hidden="0" customWidth="1"/>
    <x:col min="4" max="4" width="24" hidden="0" customWidth="1"/>
    <x:col min="5" max="5" width="18" hidden="0" customWidth="1"/>
    <x:col min="6" max="6" width="19" hidden="0" customWidth="1"/>
    <x:col min="7" max="7" width="13" hidden="0" customWidth="1"/>
    <x:col min="8" max="8" width="13" hidden="0" customWidth="1"/>
    <x:col min="9" max="9" width="20" hidden="0" customWidth="1"/>
    <x:col min="10" max="10" width="15" hidden="0" customWidth="1"/>
    <x:col min="11" max="11" width="13" hidden="0" customWidth="1"/>
    <x:col min="12" max="12" width="14" hidden="0" customWidth="1"/>
    <x:col min="13" max="13" width="13" hidden="0" customWidth="1"/>
    <x:col min="14" max="14" width="15" hidden="0" customWidth="1"/>
  </x:cols>
  <x:sheetData>
    <x:row r="1" ht="40" customHeight="1">
      <x:c r="A1" s="42" t="str">
        <x:v>STT</x:v>
      </x:c>
      <x:c r="B1" s="42" t="str">
        <x:v>Mã SV</x:v>
      </x:c>
      <x:c r="C1" s="42" t="str">
        <x:v>Khu vực</x:v>
      </x:c>
      <x:c r="D1" s="42" t="str">
        <x:v>Loại phòng</x:v>
      </x:c>
      <x:c r="E1" s="42" t="str">
        <x:v>X: Khoảng cách (km)</x:v>
      </x:c>
      <x:c r="F1" s="42" t="str">
        <x:v>Y: Giá thuê (triệu)</x:v>
      </x:c>
      <x:c r="G1" s="42" t="str">
        <x:v>x − x̄</x:v>
      </x:c>
      <x:c r="H1" s="42" t="str">
        <x:v>y − ȳ</x:v>
      </x:c>
      <x:c r="I1" s="42" t="str">
        <x:v>(x − x̄)(y − ȳ)</x:v>
      </x:c>
      <x:c r="J1" s="42" t="str">
        <x:v>(x − x̄)²</x:v>
      </x:c>
      <x:c r="K1" s="42" t="str">
        <x:v>Ŷ</x:v>
      </x:c>
      <x:c r="L1" s="42" t="str">
        <x:v>e = Y − Ŷ</x:v>
      </x:c>
      <x:c r="M1" s="42" t="str">
        <x:v>e²</x:v>
      </x:c>
      <x:c r="N1" s="42" t="str">
        <x:v>(y − ȳ)²</x:v>
      </x:c>
    </x:row>
    <x:row r="2">
      <x:c r="A2" s="14" t="n">
        <x:v>1</x:v>
      </x:c>
      <x:c r="B2" s="14" t="str">
        <x:v>HS202230</x:v>
      </x:c>
      <x:c r="C2" s="14" t="str">
        <x:v>Tân Xã</x:v>
      </x:c>
      <x:c r="D2" s="14" t="str">
        <x:v>Phòng trọ cơ bản</x:v>
      </x:c>
      <x:c r="E2" s="46" t="n">
        <x:v>0.5</x:v>
      </x:c>
      <x:c r="F2" s="46" t="n">
        <x:v>1.6</x:v>
      </x:c>
      <x:c r="G2" s="52" t="n">
        <x:f>E2-'UocLuongOLS'!$B$6</x:f>
        <x:v>-3.7968503937007876</x:v>
      </x:c>
      <x:c r="H2" s="52" t="n">
        <x:f>F2-'UocLuongOLS'!$B$7</x:f>
        <x:v>-0.4795275590551187</x:v>
      </x:c>
      <x:c r="I2" s="52" t="n">
        <x:f>G2*H2</x:f>
        <x:v>1.8206944013888051</x:v>
      </x:c>
      <x:c r="J2" s="52" t="n">
        <x:f>G2^2</x:f>
        <x:v>14.416072912145825</x:v>
      </x:c>
      <x:c r="K2" s="52" t="n">
        <x:f>'UocLuongOLS'!$B$14+'UocLuongOLS'!$B$13*E2</x:f>
        <x:v>2.7453038508622534</x:v>
      </x:c>
      <x:c r="L2" s="52" t="n">
        <x:f>F2-K2</x:f>
        <x:v>-1.1453038508622533</x:v>
      </x:c>
      <x:c r="M2" s="52" t="n">
        <x:f>L2^2</x:f>
        <x:v>1.3117209107999066</x:v>
      </x:c>
      <x:c r="N2" s="52" t="n">
        <x:f>H2^2</x:f>
        <x:v>0.22994667989336035</x:v>
      </x:c>
    </x:row>
    <x:row r="3">
      <x:c r="A3" s="15" t="n">
        <x:v>2</x:v>
      </x:c>
      <x:c r="B3" s="15" t="str">
        <x:v>HS196469</x:v>
      </x:c>
      <x:c r="C3" s="15" t="str">
        <x:v>Tân Xã</x:v>
      </x:c>
      <x:c r="D3" s="15" t="str">
        <x:v>Phòng trọ cơ bản</x:v>
      </x:c>
      <x:c r="E3" s="47" t="n">
        <x:v>1.9</x:v>
      </x:c>
      <x:c r="F3" s="47" t="n">
        <x:v>2.1</x:v>
      </x:c>
      <x:c r="G3" s="53" t="n">
        <x:f>E3-'UocLuongOLS'!$B$6</x:f>
        <x:v>-2.3968503937007877</x:v>
      </x:c>
      <x:c r="H3" s="53" t="n">
        <x:f>F3-'UocLuongOLS'!$B$7</x:f>
        <x:v>0.02047244094488132</x:v>
      </x:c>
      <x:c r="I3" s="53" t="n">
        <x:f>G3*H3</x:f>
        <x:v>-0.04906937813875492</x:v>
      </x:c>
      <x:c r="J3" s="53" t="n">
        <x:f>G3^2</x:f>
        <x:v>5.744891809783621</x:v>
      </x:c>
      <x:c r="K3" s="53" t="n">
        <x:f>'UocLuongOLS'!$B$14+'UocLuongOLS'!$B$13*E3</x:f>
        <x:v>2.4998143761975737</x:v>
      </x:c>
      <x:c r="L3" s="53" t="n">
        <x:f>F3-K3</x:f>
        <x:v>-0.39981437619757365</x:v>
      </x:c>
      <x:c r="M3" s="53" t="n">
        <x:f>L3^2</x:f>
        <x:v>0.15985153541425495</x:v>
      </x:c>
      <x:c r="N3" s="53" t="n">
        <x:f>H3^2</x:f>
        <x:v>0.00041912083824165316</x:v>
      </x:c>
    </x:row>
    <x:row r="4">
      <x:c r="A4" s="15" t="n">
        <x:v>3</x:v>
      </x:c>
      <x:c r="B4" s="15" t="str">
        <x:v>HE210990</x:v>
      </x:c>
      <x:c r="C4" s="15" t="str">
        <x:v>Tân Xã</x:v>
      </x:c>
      <x:c r="D4" s="15" t="str">
        <x:v>Phòng trọ cơ bản</x:v>
      </x:c>
      <x:c r="E4" s="47" t="n">
        <x:v>2</x:v>
      </x:c>
      <x:c r="F4" s="47" t="n">
        <x:v>1.5</x:v>
      </x:c>
      <x:c r="G4" s="53" t="n">
        <x:f>E4-'UocLuongOLS'!$B$6</x:f>
        <x:v>-2.2968503937007876</x:v>
      </x:c>
      <x:c r="H4" s="53" t="n">
        <x:f>F4-'UocLuongOLS'!$B$7</x:f>
        <x:v>-0.5795275590551188</x:v>
      </x:c>
      <x:c r="I4" s="53" t="n">
        <x:f>G4*H4</x:f>
        <x:v>1.331088102176206</x:v>
      </x:c>
      <x:c r="J4" s="53" t="n">
        <x:f>G4^2</x:f>
        <x:v>5.275521731043463</x:v>
      </x:c>
      <x:c r="K4" s="53" t="n">
        <x:f>'UocLuongOLS'!$B$14+'UocLuongOLS'!$B$13*E4</x:f>
        <x:v>2.482279413721525</x:v>
      </x:c>
      <x:c r="L4" s="53" t="n">
        <x:f>F4-K4</x:f>
        <x:v>-0.9822794137215252</x:v>
      </x:c>
      <x:c r="M4" s="53" t="n">
        <x:f>L4^2</x:f>
        <x:v>0.9648728466211032</x:v>
      </x:c>
      <x:c r="N4" s="53" t="n">
        <x:f>H4^2</x:f>
        <x:v>0.3358521917043842</x:v>
      </x:c>
    </x:row>
    <x:row r="5">
      <x:c r="A5" s="15" t="n">
        <x:v>4</x:v>
      </x:c>
      <x:c r="B5" s="15" t="str">
        <x:v>HE217093</x:v>
      </x:c>
      <x:c r="C5" s="15" t="str">
        <x:v>Tân Xã</x:v>
      </x:c>
      <x:c r="D5" s="15" t="str">
        <x:v>Phòng trọ cơ bản</x:v>
      </x:c>
      <x:c r="E5" s="47" t="n">
        <x:v>2</x:v>
      </x:c>
      <x:c r="F5" s="47" t="n">
        <x:v>1.6</x:v>
      </x:c>
      <x:c r="G5" s="53" t="n">
        <x:f>E5-'UocLuongOLS'!$B$6</x:f>
        <x:v>-2.2968503937007876</x:v>
      </x:c>
      <x:c r="H5" s="53" t="n">
        <x:f>F5-'UocLuongOLS'!$B$7</x:f>
        <x:v>-0.4795275590551187</x:v>
      </x:c>
      <x:c r="I5" s="53" t="n">
        <x:f>G5*H5</x:f>
        <x:v>1.101403062806127</x:v>
      </x:c>
      <x:c r="J5" s="53" t="n">
        <x:f>G5^2</x:f>
        <x:v>5.275521731043463</x:v>
      </x:c>
      <x:c r="K5" s="53" t="n">
        <x:f>'UocLuongOLS'!$B$14+'UocLuongOLS'!$B$13*E5</x:f>
        <x:v>2.482279413721525</x:v>
      </x:c>
      <x:c r="L5" s="53" t="n">
        <x:f>F5-K5</x:f>
        <x:v>-0.8822794137215251</x:v>
      </x:c>
      <x:c r="M5" s="53" t="n">
        <x:f>L5^2</x:f>
        <x:v>0.778416963876798</x:v>
      </x:c>
      <x:c r="N5" s="53" t="n">
        <x:f>H5^2</x:f>
        <x:v>0.22994667989336035</x:v>
      </x:c>
    </x:row>
    <x:row r="6">
      <x:c r="A6" s="15" t="n">
        <x:v>5</x:v>
      </x:c>
      <x:c r="B6" s="15" t="str">
        <x:v>HE215550</x:v>
      </x:c>
      <x:c r="C6" s="15" t="str">
        <x:v>Tân Xã</x:v>
      </x:c>
      <x:c r="D6" s="15" t="str">
        <x:v>Phòng trọ cơ bản</x:v>
      </x:c>
      <x:c r="E6" s="47" t="n">
        <x:v>2</x:v>
      </x:c>
      <x:c r="F6" s="47" t="n">
        <x:v>1.6</x:v>
      </x:c>
      <x:c r="G6" s="53" t="n">
        <x:f>E6-'UocLuongOLS'!$B$6</x:f>
        <x:v>-2.2968503937007876</x:v>
      </x:c>
      <x:c r="H6" s="53" t="n">
        <x:f>F6-'UocLuongOLS'!$B$7</x:f>
        <x:v>-0.4795275590551187</x:v>
      </x:c>
      <x:c r="I6" s="53" t="n">
        <x:f>G6*H6</x:f>
        <x:v>1.101403062806127</x:v>
      </x:c>
      <x:c r="J6" s="53" t="n">
        <x:f>G6^2</x:f>
        <x:v>5.275521731043463</x:v>
      </x:c>
      <x:c r="K6" s="53" t="n">
        <x:f>'UocLuongOLS'!$B$14+'UocLuongOLS'!$B$13*E6</x:f>
        <x:v>2.482279413721525</x:v>
      </x:c>
      <x:c r="L6" s="53" t="n">
        <x:f>F6-K6</x:f>
        <x:v>-0.8822794137215251</x:v>
      </x:c>
      <x:c r="M6" s="53" t="n">
        <x:f>L6^2</x:f>
        <x:v>0.778416963876798</x:v>
      </x:c>
      <x:c r="N6" s="53" t="n">
        <x:f>H6^2</x:f>
        <x:v>0.22994667989336035</x:v>
      </x:c>
    </x:row>
    <x:row r="7">
      <x:c r="A7" s="15" t="n">
        <x:v>6</x:v>
      </x:c>
      <x:c r="B7" s="15" t="str">
        <x:v>HC198012</x:v>
      </x:c>
      <x:c r="C7" s="15" t="str">
        <x:v>Tân Xã</x:v>
      </x:c>
      <x:c r="D7" s="15" t="str">
        <x:v>Chung cư mini/Studio</x:v>
      </x:c>
      <x:c r="E7" s="47" t="n">
        <x:v>2.1</x:v>
      </x:c>
      <x:c r="F7" s="47" t="n">
        <x:v>2.7</x:v>
      </x:c>
      <x:c r="G7" s="53" t="n">
        <x:f>E7-'UocLuongOLS'!$B$6</x:f>
        <x:v>-2.1968503937007875</x:v>
      </x:c>
      <x:c r="H7" s="53" t="n">
        <x:f>F7-'UocLuongOLS'!$B$7</x:f>
        <x:v>0.6204724409448814</x:v>
      </x:c>
      <x:c r="I7" s="53" t="n">
        <x:f>G7*H7</x:f>
        <x:v>-1.3630851261702512</x:v>
      </x:c>
      <x:c r="J7" s="53" t="n">
        <x:f>G7^2</x:f>
        <x:v>4.826151652303305</x:v>
      </x:c>
      <x:c r="K7" s="53" t="n">
        <x:f>'UocLuongOLS'!$B$14+'UocLuongOLS'!$B$13*E7</x:f>
        <x:v>2.4647444512454766</x:v>
      </x:c>
      <x:c r="L7" s="53" t="n">
        <x:f>F7-K7</x:f>
        <x:v>0.2352555487545236</x:v>
      </x:c>
      <x:c r="M7" s="53" t="n">
        <x:f>L7^2</x:f>
        <x:v>0.05534517321979203</x:v>
      </x:c>
      <x:c r="N7" s="53" t="n">
        <x:f>H7^2</x:f>
        <x:v>0.38498604997209934</x:v>
      </x:c>
    </x:row>
    <x:row r="8">
      <x:c r="A8" s="15" t="n">
        <x:v>7</x:v>
      </x:c>
      <x:c r="B8" s="15" t="str">
        <x:v>HS217411</x:v>
      </x:c>
      <x:c r="C8" s="15" t="str">
        <x:v>Tân Xã</x:v>
      </x:c>
      <x:c r="D8" s="15" t="str">
        <x:v>Phòng trọ cơ bản</x:v>
      </x:c>
      <x:c r="E8" s="47" t="n">
        <x:v>2.2</x:v>
      </x:c>
      <x:c r="F8" s="47" t="n">
        <x:v>1.9</x:v>
      </x:c>
      <x:c r="G8" s="53" t="n">
        <x:f>E8-'UocLuongOLS'!$B$6</x:f>
        <x:v>-2.0968503937007874</x:v>
      </x:c>
      <x:c r="H8" s="53" t="n">
        <x:f>F8-'UocLuongOLS'!$B$7</x:f>
        <x:v>-0.17952755905511886</x:v>
      </x:c>
      <x:c r="I8" s="53" t="n">
        <x:f>G8*H8</x:f>
        <x:v>0.37644243288486734</x:v>
      </x:c>
      <x:c r="J8" s="53" t="n">
        <x:f>G8^2</x:f>
        <x:v>4.396781573563147</x:v>
      </x:c>
      <x:c r="K8" s="53" t="n">
        <x:f>'UocLuongOLS'!$B$14+'UocLuongOLS'!$B$13*E8</x:f>
        <x:v>2.4472094887694285</x:v>
      </x:c>
      <x:c r="L8" s="53" t="n">
        <x:f>F8-K8</x:f>
        <x:v>-0.5472094887694285</x:v>
      </x:c>
      <x:c r="M8" s="53" t="n">
        <x:f>L8^2</x:f>
        <x:v>0.29943822459929936</x:v>
      </x:c>
      <x:c r="N8" s="53" t="n">
        <x:f>H8^2</x:f>
        <x:v>0.03223014446028919</x:v>
      </x:c>
    </x:row>
    <x:row r="9">
      <x:c r="A9" s="15" t="n">
        <x:v>8</x:v>
      </x:c>
      <x:c r="B9" s="15" t="str">
        <x:v>HS209456</x:v>
      </x:c>
      <x:c r="C9" s="15" t="str">
        <x:v>Tân Xã</x:v>
      </x:c>
      <x:c r="D9" s="15" t="str">
        <x:v>Phòng trọ cơ bản</x:v>
      </x:c>
      <x:c r="E9" s="47" t="n">
        <x:v>2.3</x:v>
      </x:c>
      <x:c r="F9" s="47" t="n">
        <x:v>2.3</x:v>
      </x:c>
      <x:c r="G9" s="53" t="n">
        <x:f>E9-'UocLuongOLS'!$B$6</x:f>
        <x:v>-1.9968503937007878</x:v>
      </x:c>
      <x:c r="H9" s="53" t="n">
        <x:f>F9-'UocLuongOLS'!$B$7</x:f>
        <x:v>0.22047244094488105</x:v>
      </x:c>
      <x:c r="I9" s="53" t="n">
        <x:f>G9*H9</x:f>
        <x:v>-0.44025048050095944</x:v>
      </x:c>
      <x:c r="J9" s="53" t="n">
        <x:f>G9^2</x:f>
        <x:v>3.9874114948229913</x:v>
      </x:c>
      <x:c r="K9" s="53" t="n">
        <x:f>'UocLuongOLS'!$B$14+'UocLuongOLS'!$B$13*E9</x:f>
        <x:v>2.42967452629338</x:v>
      </x:c>
      <x:c r="L9" s="53" t="n">
        <x:f>F9-K9</x:f>
        <x:v>-0.12967452629338005</x:v>
      </x:c>
      <x:c r="M9" s="53" t="n">
        <x:f>L9^2</x:f>
        <x:v>0.016815482769412516</x:v>
      </x:c>
      <x:c r="N9" s="53" t="n">
        <x:f>H9^2</x:f>
        <x:v>0.048608097216194066</x:v>
      </x:c>
    </x:row>
    <x:row r="10">
      <x:c r="A10" s="15" t="n">
        <x:v>9</x:v>
      </x:c>
      <x:c r="B10" s="15" t="str">
        <x:v>HE190492</x:v>
      </x:c>
      <x:c r="C10" s="15" t="str">
        <x:v>Tân Xã</x:v>
      </x:c>
      <x:c r="D10" s="15" t="str">
        <x:v>Chung cư mini</x:v>
      </x:c>
      <x:c r="E10" s="47" t="n">
        <x:v>2.3</x:v>
      </x:c>
      <x:c r="F10" s="47" t="n">
        <x:v>2.7</x:v>
      </x:c>
      <x:c r="G10" s="53" t="n">
        <x:f>E10-'UocLuongOLS'!$B$6</x:f>
        <x:v>-1.9968503937007878</x:v>
      </x:c>
      <x:c r="H10" s="53" t="n">
        <x:f>F10-'UocLuongOLS'!$B$7</x:f>
        <x:v>0.6204724409448814</x:v>
      </x:c>
      <x:c r="I10" s="53" t="n">
        <x:f>G10*H10</x:f>
        <x:v>-1.2389906379812752</x:v>
      </x:c>
      <x:c r="J10" s="53" t="n">
        <x:f>G10^2</x:f>
        <x:v>3.9874114948229913</x:v>
      </x:c>
      <x:c r="K10" s="53" t="n">
        <x:f>'UocLuongOLS'!$B$14+'UocLuongOLS'!$B$13*E10</x:f>
        <x:v>2.42967452629338</x:v>
      </x:c>
      <x:c r="L10" s="53" t="n">
        <x:f>F10-K10</x:f>
        <x:v>0.2703254737066203</x:v>
      </x:c>
      <x:c r="M10" s="53" t="n">
        <x:f>L10^2</x:f>
        <x:v>0.07307586173470866</x:v>
      </x:c>
      <x:c r="N10" s="53" t="n">
        <x:f>H10^2</x:f>
        <x:v>0.38498604997209934</x:v>
      </x:c>
    </x:row>
    <x:row r="11">
      <x:c r="A11" s="15" t="n">
        <x:v>10</x:v>
      </x:c>
      <x:c r="B11" s="15" t="str">
        <x:v>HS199533</x:v>
      </x:c>
      <x:c r="C11" s="15" t="str">
        <x:v>Tân Xã</x:v>
      </x:c>
      <x:c r="D11" s="15" t="str">
        <x:v>Phòng trọ cơ bản</x:v>
      </x:c>
      <x:c r="E11" s="47" t="n">
        <x:v>2.3</x:v>
      </x:c>
      <x:c r="F11" s="47" t="n">
        <x:v>2.3</x:v>
      </x:c>
      <x:c r="G11" s="53" t="n">
        <x:f>E11-'UocLuongOLS'!$B$6</x:f>
        <x:v>-1.9968503937007878</x:v>
      </x:c>
      <x:c r="H11" s="53" t="n">
        <x:f>F11-'UocLuongOLS'!$B$7</x:f>
        <x:v>0.22047244094488105</x:v>
      </x:c>
      <x:c r="I11" s="53" t="n">
        <x:f>G11*H11</x:f>
        <x:v>-0.44025048050095944</x:v>
      </x:c>
      <x:c r="J11" s="53" t="n">
        <x:f>G11^2</x:f>
        <x:v>3.9874114948229913</x:v>
      </x:c>
      <x:c r="K11" s="53" t="n">
        <x:f>'UocLuongOLS'!$B$14+'UocLuongOLS'!$B$13*E11</x:f>
        <x:v>2.42967452629338</x:v>
      </x:c>
      <x:c r="L11" s="53" t="n">
        <x:f>F11-K11</x:f>
        <x:v>-0.12967452629338005</x:v>
      </x:c>
      <x:c r="M11" s="53" t="n">
        <x:f>L11^2</x:f>
        <x:v>0.016815482769412516</x:v>
      </x:c>
      <x:c r="N11" s="53" t="n">
        <x:f>H11^2</x:f>
        <x:v>0.048608097216194066</x:v>
      </x:c>
    </x:row>
    <x:row r="12">
      <x:c r="A12" s="15" t="n">
        <x:v>11</x:v>
      </x:c>
      <x:c r="B12" s="15" t="str">
        <x:v>HS218134</x:v>
      </x:c>
      <x:c r="C12" s="15" t="str">
        <x:v>Tân Xã</x:v>
      </x:c>
      <x:c r="D12" s="15" t="str">
        <x:v>Phòng trọ cơ bản</x:v>
      </x:c>
      <x:c r="E12" s="47" t="n">
        <x:v>2.4</x:v>
      </x:c>
      <x:c r="F12" s="47" t="n">
        <x:v>2.3</x:v>
      </x:c>
      <x:c r="G12" s="53" t="n">
        <x:f>E12-'UocLuongOLS'!$B$6</x:f>
        <x:v>-1.8968503937007877</x:v>
      </x:c>
      <x:c r="H12" s="53" t="n">
        <x:f>F12-'UocLuongOLS'!$B$7</x:f>
        <x:v>0.22047244094488105</x:v>
      </x:c>
      <x:c r="I12" s="53" t="n">
        <x:f>G12*H12</x:f>
        <x:v>-0.4182032364064713</x:v>
      </x:c>
      <x:c r="J12" s="53" t="n">
        <x:f>G12^2</x:f>
        <x:v>3.5980414160828333</x:v>
      </x:c>
      <x:c r="K12" s="53" t="n">
        <x:f>'UocLuongOLS'!$B$14+'UocLuongOLS'!$B$13*E12</x:f>
        <x:v>2.4121395638173313</x:v>
      </x:c>
      <x:c r="L12" s="53" t="n">
        <x:f>F12-K12</x:f>
        <x:v>-0.11213956381733148</x:v>
      </x:c>
      <x:c r="M12" s="53" t="n">
        <x:f>L12^2</x:f>
        <x:v>0.012575281773141359</x:v>
      </x:c>
      <x:c r="N12" s="53" t="n">
        <x:f>H12^2</x:f>
        <x:v>0.048608097216194066</x:v>
      </x:c>
    </x:row>
    <x:row r="13">
      <x:c r="A13" s="15" t="n">
        <x:v>12</x:v>
      </x:c>
      <x:c r="B13" s="15" t="str">
        <x:v>HE188780</x:v>
      </x:c>
      <x:c r="C13" s="15" t="str">
        <x:v>Tân Xã</x:v>
      </x:c>
      <x:c r="D13" s="15" t="str">
        <x:v>Phòng trọ cơ bản</x:v>
      </x:c>
      <x:c r="E13" s="47" t="n">
        <x:v>2.5</x:v>
      </x:c>
      <x:c r="F13" s="47" t="n">
        <x:v>2.3</x:v>
      </x:c>
      <x:c r="G13" s="53" t="n">
        <x:f>E13-'UocLuongOLS'!$B$6</x:f>
        <x:v>-1.7968503937007876</x:v>
      </x:c>
      <x:c r="H13" s="53" t="n">
        <x:f>F13-'UocLuongOLS'!$B$7</x:f>
        <x:v>0.22047244094488105</x:v>
      </x:c>
      <x:c r="I13" s="53" t="n">
        <x:f>G13*H13</x:f>
        <x:v>-0.3961559923119832</x:v>
      </x:c>
      <x:c r="J13" s="53" t="n">
        <x:f>G13^2</x:f>
        <x:v>3.2286713373426754</x:v>
      </x:c>
      <x:c r="K13" s="53" t="n">
        <x:f>'UocLuongOLS'!$B$14+'UocLuongOLS'!$B$13*E13</x:f>
        <x:v>2.3946046013412827</x:v>
      </x:c>
      <x:c r="L13" s="53" t="n">
        <x:f>F13-K13</x:f>
        <x:v>-0.0946046013412829</x:v>
      </x:c>
      <x:c r="M13" s="53" t="n">
        <x:f>L13^2</x:f>
        <x:v>0.008950030594943066</x:v>
      </x:c>
      <x:c r="N13" s="53" t="n">
        <x:f>H13^2</x:f>
        <x:v>0.048608097216194066</x:v>
      </x:c>
    </x:row>
    <x:row r="14">
      <x:c r="A14" s="15" t="n">
        <x:v>13</x:v>
      </x:c>
      <x:c r="B14" s="15" t="str">
        <x:v>HS209121</x:v>
      </x:c>
      <x:c r="C14" s="15" t="str">
        <x:v>Thạch Hòa</x:v>
      </x:c>
      <x:c r="D14" s="15" t="str">
        <x:v>Chung cư mini</x:v>
      </x:c>
      <x:c r="E14" s="47" t="n">
        <x:v>2.5</x:v>
      </x:c>
      <x:c r="F14" s="47" t="n">
        <x:v>3.1</x:v>
      </x:c>
      <x:c r="G14" s="53" t="n">
        <x:f>E14-'UocLuongOLS'!$B$6</x:f>
        <x:v>-1.7968503937007876</x:v>
      </x:c>
      <x:c r="H14" s="53" t="n">
        <x:f>F14-'UocLuongOLS'!$B$7</x:f>
        <x:v>1.0204724409448813</x:v>
      </x:c>
      <x:c r="I14" s="53" t="n">
        <x:f>G14*H14</x:f>
        <x:v>-1.8336363072726136</x:v>
      </x:c>
      <x:c r="J14" s="53" t="n">
        <x:f>G14^2</x:f>
        <x:v>3.2286713373426754</x:v>
      </x:c>
      <x:c r="K14" s="53" t="n">
        <x:f>'UocLuongOLS'!$B$14+'UocLuongOLS'!$B$13*E14</x:f>
        <x:v>2.3946046013412827</x:v>
      </x:c>
      <x:c r="L14" s="53" t="n">
        <x:f>F14-K14</x:f>
        <x:v>0.7053953986587174</x:v>
      </x:c>
      <x:c r="M14" s="53" t="n">
        <x:f>L14^2</x:f>
        <x:v>0.4975826684488908</x:v>
      </x:c>
      <x:c r="N14" s="53" t="n">
        <x:f>H14^2</x:f>
        <x:v>1.0413640027280042</x:v>
      </x:c>
    </x:row>
    <x:row r="15">
      <x:c r="A15" s="15" t="n">
        <x:v>14</x:v>
      </x:c>
      <x:c r="B15" s="15" t="str">
        <x:v>HS189978</x:v>
      </x:c>
      <x:c r="C15" s="15" t="str">
        <x:v>Tân Xã</x:v>
      </x:c>
      <x:c r="D15" s="15" t="str">
        <x:v>Phòng trọ cơ bản</x:v>
      </x:c>
      <x:c r="E15" s="47" t="n">
        <x:v>2.5</x:v>
      </x:c>
      <x:c r="F15" s="47" t="n">
        <x:v>2.3</x:v>
      </x:c>
      <x:c r="G15" s="53" t="n">
        <x:f>E15-'UocLuongOLS'!$B$6</x:f>
        <x:v>-1.7968503937007876</x:v>
      </x:c>
      <x:c r="H15" s="53" t="n">
        <x:f>F15-'UocLuongOLS'!$B$7</x:f>
        <x:v>0.22047244094488105</x:v>
      </x:c>
      <x:c r="I15" s="53" t="n">
        <x:f>G15*H15</x:f>
        <x:v>-0.3961559923119832</x:v>
      </x:c>
      <x:c r="J15" s="53" t="n">
        <x:f>G15^2</x:f>
        <x:v>3.2286713373426754</x:v>
      </x:c>
      <x:c r="K15" s="53" t="n">
        <x:f>'UocLuongOLS'!$B$14+'UocLuongOLS'!$B$13*E15</x:f>
        <x:v>2.3946046013412827</x:v>
      </x:c>
      <x:c r="L15" s="53" t="n">
        <x:f>F15-K15</x:f>
        <x:v>-0.0946046013412829</x:v>
      </x:c>
      <x:c r="M15" s="53" t="n">
        <x:f>L15^2</x:f>
        <x:v>0.008950030594943066</x:v>
      </x:c>
      <x:c r="N15" s="53" t="n">
        <x:f>H15^2</x:f>
        <x:v>0.048608097216194066</x:v>
      </x:c>
    </x:row>
    <x:row r="16">
      <x:c r="A16" s="15" t="n">
        <x:v>15</x:v>
      </x:c>
      <x:c r="B16" s="15" t="str">
        <x:v>HS195403</x:v>
      </x:c>
      <x:c r="C16" s="15" t="str">
        <x:v>Tân Xã</x:v>
      </x:c>
      <x:c r="D16" s="15" t="str">
        <x:v>Phòng trọ cơ bản</x:v>
      </x:c>
      <x:c r="E16" s="47" t="n">
        <x:v>2.5</x:v>
      </x:c>
      <x:c r="F16" s="47" t="n">
        <x:v>2.3</x:v>
      </x:c>
      <x:c r="G16" s="53" t="n">
        <x:f>E16-'UocLuongOLS'!$B$6</x:f>
        <x:v>-1.7968503937007876</x:v>
      </x:c>
      <x:c r="H16" s="53" t="n">
        <x:f>F16-'UocLuongOLS'!$B$7</x:f>
        <x:v>0.22047244094488105</x:v>
      </x:c>
      <x:c r="I16" s="53" t="n">
        <x:f>G16*H16</x:f>
        <x:v>-0.3961559923119832</x:v>
      </x:c>
      <x:c r="J16" s="53" t="n">
        <x:f>G16^2</x:f>
        <x:v>3.2286713373426754</x:v>
      </x:c>
      <x:c r="K16" s="53" t="n">
        <x:f>'UocLuongOLS'!$B$14+'UocLuongOLS'!$B$13*E16</x:f>
        <x:v>2.3946046013412827</x:v>
      </x:c>
      <x:c r="L16" s="53" t="n">
        <x:f>F16-K16</x:f>
        <x:v>-0.0946046013412829</x:v>
      </x:c>
      <x:c r="M16" s="53" t="n">
        <x:f>L16^2</x:f>
        <x:v>0.008950030594943066</x:v>
      </x:c>
      <x:c r="N16" s="53" t="n">
        <x:f>H16^2</x:f>
        <x:v>0.048608097216194066</x:v>
      </x:c>
    </x:row>
    <x:row r="17">
      <x:c r="A17" s="15" t="n">
        <x:v>16</x:v>
      </x:c>
      <x:c r="B17" s="15" t="str">
        <x:v>HE204745</x:v>
      </x:c>
      <x:c r="C17" s="15" t="str">
        <x:v>Tân Xã</x:v>
      </x:c>
      <x:c r="D17" s="15" t="str">
        <x:v>Chung cư mini/Studio</x:v>
      </x:c>
      <x:c r="E17" s="47" t="n">
        <x:v>2.6</x:v>
      </x:c>
      <x:c r="F17" s="47" t="n">
        <x:v>3</x:v>
      </x:c>
      <x:c r="G17" s="53" t="n">
        <x:f>E17-'UocLuongOLS'!$B$6</x:f>
        <x:v>-1.6968503937007875</x:v>
      </x:c>
      <x:c r="H17" s="53" t="n">
        <x:f>F17-'UocLuongOLS'!$B$7</x:f>
        <x:v>0.9204724409448812</x:v>
      </x:c>
      <x:c r="I17" s="53" t="n">
        <x:f>G17*H17</x:f>
        <x:v>-1.5619040238080466</x:v>
      </x:c>
      <x:c r="J17" s="53" t="n">
        <x:f>G17^2</x:f>
        <x:v>2.8793012586025175</x:v>
      </x:c>
      <x:c r="K17" s="53" t="n">
        <x:f>'UocLuongOLS'!$B$14+'UocLuongOLS'!$B$13*E17</x:f>
        <x:v>2.377069638865234</x:v>
      </x:c>
      <x:c r="L17" s="53" t="n">
        <x:f>F17-K17</x:f>
        <x:v>0.6229303611347659</x:v>
      </x:c>
      <x:c r="M17" s="53" t="n">
        <x:f>L17^2</x:f>
        <x:v>0.3880422348234898</x:v>
      </x:c>
      <x:c r="N17" s="53" t="n">
        <x:f>H17^2</x:f>
        <x:v>0.8472695145390279</x:v>
      </x:c>
    </x:row>
    <x:row r="18">
      <x:c r="A18" s="15" t="n">
        <x:v>17</x:v>
      </x:c>
      <x:c r="B18" s="15" t="str">
        <x:v>HC217354</x:v>
      </x:c>
      <x:c r="C18" s="15" t="str">
        <x:v>Thạch Hòa</x:v>
      </x:c>
      <x:c r="D18" s="15" t="str">
        <x:v>Phòng trọ cơ bản</x:v>
      </x:c>
      <x:c r="E18" s="47" t="n">
        <x:v>2.6</x:v>
      </x:c>
      <x:c r="F18" s="47" t="n">
        <x:v>2.2</x:v>
      </x:c>
      <x:c r="G18" s="53" t="n">
        <x:f>E18-'UocLuongOLS'!$B$6</x:f>
        <x:v>-1.6968503937007875</x:v>
      </x:c>
      <x:c r="H18" s="53" t="n">
        <x:f>F18-'UocLuongOLS'!$B$7</x:f>
        <x:v>0.12047244094488141</x:v>
      </x:c>
      <x:c r="I18" s="53" t="n">
        <x:f>G18*H18</x:f>
        <x:v>-0.2044237088474169</x:v>
      </x:c>
      <x:c r="J18" s="53" t="n">
        <x:f>G18^2</x:f>
        <x:v>2.8793012586025175</x:v>
      </x:c>
      <x:c r="K18" s="53" t="n">
        <x:f>'UocLuongOLS'!$B$14+'UocLuongOLS'!$B$13*E18</x:f>
        <x:v>2.377069638865234</x:v>
      </x:c>
      <x:c r="L18" s="53" t="n">
        <x:f>F18-K18</x:f>
        <x:v>-0.17706963886523397</x:v>
      </x:c>
      <x:c r="M18" s="53" t="n">
        <x:f>L18^2</x:f>
        <x:v>0.031353657007864376</x:v>
      </x:c>
      <x:c r="N18" s="53" t="n">
        <x:f>H18^2</x:f>
        <x:v>0.014513609027217938</x:v>
      </x:c>
    </x:row>
    <x:row r="19">
      <x:c r="A19" s="15" t="n">
        <x:v>18</x:v>
      </x:c>
      <x:c r="B19" s="15" t="str">
        <x:v>HC208881</x:v>
      </x:c>
      <x:c r="C19" s="15" t="str">
        <x:v>Thạch Hòa</x:v>
      </x:c>
      <x:c r="D19" s="15" t="str">
        <x:v>Phòng trọ cơ bản</x:v>
      </x:c>
      <x:c r="E19" s="47" t="n">
        <x:v>2.6</x:v>
      </x:c>
      <x:c r="F19" s="47" t="n">
        <x:v>2.3</x:v>
      </x:c>
      <x:c r="G19" s="53" t="n">
        <x:f>E19-'UocLuongOLS'!$B$6</x:f>
        <x:v>-1.6968503937007875</x:v>
      </x:c>
      <x:c r="H19" s="53" t="n">
        <x:f>F19-'UocLuongOLS'!$B$7</x:f>
        <x:v>0.22047244094488105</x:v>
      </x:c>
      <x:c r="I19" s="53" t="n">
        <x:f>G19*H19</x:f>
        <x:v>-0.374108748217495</x:v>
      </x:c>
      <x:c r="J19" s="53" t="n">
        <x:f>G19^2</x:f>
        <x:v>2.8793012586025175</x:v>
      </x:c>
      <x:c r="K19" s="53" t="n">
        <x:f>'UocLuongOLS'!$B$14+'UocLuongOLS'!$B$13*E19</x:f>
        <x:v>2.377069638865234</x:v>
      </x:c>
      <x:c r="L19" s="53" t="n">
        <x:f>F19-K19</x:f>
        <x:v>-0.07706963886523432</x:v>
      </x:c>
      <x:c r="M19" s="53" t="n">
        <x:f>L19^2</x:f>
        <x:v>0.005939729234817637</x:v>
      </x:c>
      <x:c r="N19" s="53" t="n">
        <x:f>H19^2</x:f>
        <x:v>0.048608097216194066</x:v>
      </x:c>
    </x:row>
    <x:row r="20">
      <x:c r="A20" s="15" t="n">
        <x:v>19</x:v>
      </x:c>
      <x:c r="B20" s="15" t="str">
        <x:v>HA190615</x:v>
      </x:c>
      <x:c r="C20" s="15" t="str">
        <x:v>Tân Xã</x:v>
      </x:c>
      <x:c r="D20" s="15" t="str">
        <x:v>Phòng trọ cơ bản</x:v>
      </x:c>
      <x:c r="E20" s="47" t="n">
        <x:v>2.7</x:v>
      </x:c>
      <x:c r="F20" s="47" t="n">
        <x:v>2.4</x:v>
      </x:c>
      <x:c r="G20" s="53" t="n">
        <x:f>E20-'UocLuongOLS'!$B$6</x:f>
        <x:v>-1.5968503937007874</x:v>
      </x:c>
      <x:c r="H20" s="53" t="n">
        <x:f>F20-'UocLuongOLS'!$B$7</x:f>
        <x:v>0.32047244094488114</x:v>
      </x:c>
      <x:c r="I20" s="53" t="n">
        <x:f>G20*H20</x:f>
        <x:v>-0.5117465434930858</x:v>
      </x:c>
      <x:c r="J20" s="53" t="n">
        <x:f>G20^2</x:f>
        <x:v>2.5499311798623596</x:v>
      </x:c>
      <x:c r="K20" s="53" t="n">
        <x:f>'UocLuongOLS'!$B$14+'UocLuongOLS'!$B$13*E20</x:f>
        <x:v>2.3595346763891856</x:v>
      </x:c>
      <x:c r="L20" s="53" t="n">
        <x:f>F20-K20</x:f>
        <x:v>0.04046532361081434</x:v>
      </x:c>
      <x:c r="M20" s="53" t="n">
        <x:f>L20^2</x:f>
        <x:v>0.0016374424149279286</x:v>
      </x:c>
      <x:c r="N20" s="53" t="n">
        <x:f>H20^2</x:f>
        <x:v>0.10270258540517033</x:v>
      </x:c>
    </x:row>
    <x:row r="21">
      <x:c r="A21" s="15" t="n">
        <x:v>20</x:v>
      </x:c>
      <x:c r="B21" s="15" t="str">
        <x:v>HS187006</x:v>
      </x:c>
      <x:c r="C21" s="15" t="str">
        <x:v>Thạch Hòa</x:v>
      </x:c>
      <x:c r="D21" s="15" t="str">
        <x:v>Phòng trọ cơ bản</x:v>
      </x:c>
      <x:c r="E21" s="47" t="n">
        <x:v>2.7</x:v>
      </x:c>
      <x:c r="F21" s="47" t="n">
        <x:v>2.3</x:v>
      </x:c>
      <x:c r="G21" s="53" t="n">
        <x:f>E21-'UocLuongOLS'!$B$6</x:f>
        <x:v>-1.5968503937007874</x:v>
      </x:c>
      <x:c r="H21" s="53" t="n">
        <x:f>F21-'UocLuongOLS'!$B$7</x:f>
        <x:v>0.22047244094488105</x:v>
      </x:c>
      <x:c r="I21" s="53" t="n">
        <x:f>G21*H21</x:f>
        <x:v>-0.3520615041230069</x:v>
      </x:c>
      <x:c r="J21" s="53" t="n">
        <x:f>G21^2</x:f>
        <x:v>2.5499311798623596</x:v>
      </x:c>
      <x:c r="K21" s="53" t="n">
        <x:f>'UocLuongOLS'!$B$14+'UocLuongOLS'!$B$13*E21</x:f>
        <x:v>2.3595346763891856</x:v>
      </x:c>
      <x:c r="L21" s="53" t="n">
        <x:f>F21-K21</x:f>
        <x:v>-0.05953467638918575</x:v>
      </x:c>
      <x:c r="M21" s="53" t="n">
        <x:f>L21^2</x:f>
        <x:v>0.003544377692765071</x:v>
      </x:c>
      <x:c r="N21" s="53" t="n">
        <x:f>H21^2</x:f>
        <x:v>0.048608097216194066</x:v>
      </x:c>
    </x:row>
    <x:row r="22">
      <x:c r="A22" s="15" t="n">
        <x:v>21</x:v>
      </x:c>
      <x:c r="B22" s="15" t="str">
        <x:v>HC197475</x:v>
      </x:c>
      <x:c r="C22" s="15" t="str">
        <x:v>Tân Xã</x:v>
      </x:c>
      <x:c r="D22" s="15" t="str">
        <x:v>Phòng trọ cơ bản</x:v>
      </x:c>
      <x:c r="E22" s="47" t="n">
        <x:v>2.7</x:v>
      </x:c>
      <x:c r="F22" s="47" t="n">
        <x:v>1.9</x:v>
      </x:c>
      <x:c r="G22" s="53" t="n">
        <x:f>E22-'UocLuongOLS'!$B$6</x:f>
        <x:v>-1.5968503937007874</x:v>
      </x:c>
      <x:c r="H22" s="53" t="n">
        <x:f>F22-'UocLuongOLS'!$B$7</x:f>
        <x:v>-0.17952755905511886</x:v>
      </x:c>
      <x:c r="I22" s="53" t="n">
        <x:f>G22*H22</x:f>
        <x:v>0.2866786533573079</x:v>
      </x:c>
      <x:c r="J22" s="53" t="n">
        <x:f>G22^2</x:f>
        <x:v>2.5499311798623596</x:v>
      </x:c>
      <x:c r="K22" s="53" t="n">
        <x:f>'UocLuongOLS'!$B$14+'UocLuongOLS'!$B$13*E22</x:f>
        <x:v>2.3595346763891856</x:v>
      </x:c>
      <x:c r="L22" s="53" t="n">
        <x:f>F22-K22</x:f>
        <x:v>-0.45953467638918566</x:v>
      </x:c>
      <x:c r="M22" s="53" t="n">
        <x:f>L22^2</x:f>
        <x:v>0.2111721188041136</x:v>
      </x:c>
      <x:c r="N22" s="53" t="n">
        <x:f>H22^2</x:f>
        <x:v>0.03223014446028919</x:v>
      </x:c>
    </x:row>
    <x:row r="23">
      <x:c r="A23" s="15" t="n">
        <x:v>22</x:v>
      </x:c>
      <x:c r="B23" s="15" t="str">
        <x:v>HS216542</x:v>
      </x:c>
      <x:c r="C23" s="15" t="str">
        <x:v>Thạch Hòa</x:v>
      </x:c>
      <x:c r="D23" s="15" t="str">
        <x:v>Phòng trọ cơ bản</x:v>
      </x:c>
      <x:c r="E23" s="47" t="n">
        <x:v>2.7</x:v>
      </x:c>
      <x:c r="F23" s="47" t="n">
        <x:v>2.3</x:v>
      </x:c>
      <x:c r="G23" s="53" t="n">
        <x:f>E23-'UocLuongOLS'!$B$6</x:f>
        <x:v>-1.5968503937007874</x:v>
      </x:c>
      <x:c r="H23" s="53" t="n">
        <x:f>F23-'UocLuongOLS'!$B$7</x:f>
        <x:v>0.22047244094488105</x:v>
      </x:c>
      <x:c r="I23" s="53" t="n">
        <x:f>G23*H23</x:f>
        <x:v>-0.3520615041230069</x:v>
      </x:c>
      <x:c r="J23" s="53" t="n">
        <x:f>G23^2</x:f>
        <x:v>2.5499311798623596</x:v>
      </x:c>
      <x:c r="K23" s="53" t="n">
        <x:f>'UocLuongOLS'!$B$14+'UocLuongOLS'!$B$13*E23</x:f>
        <x:v>2.3595346763891856</x:v>
      </x:c>
      <x:c r="L23" s="53" t="n">
        <x:f>F23-K23</x:f>
        <x:v>-0.05953467638918575</x:v>
      </x:c>
      <x:c r="M23" s="53" t="n">
        <x:f>L23^2</x:f>
        <x:v>0.003544377692765071</x:v>
      </x:c>
      <x:c r="N23" s="53" t="n">
        <x:f>H23^2</x:f>
        <x:v>0.048608097216194066</x:v>
      </x:c>
    </x:row>
    <x:row r="24">
      <x:c r="A24" s="15" t="n">
        <x:v>23</x:v>
      </x:c>
      <x:c r="B24" s="15" t="str">
        <x:v>HC181487</x:v>
      </x:c>
      <x:c r="C24" s="15" t="str">
        <x:v>Thạch Hòa</x:v>
      </x:c>
      <x:c r="D24" s="15" t="str">
        <x:v>Phòng trọ cơ bản</x:v>
      </x:c>
      <x:c r="E24" s="47" t="n">
        <x:v>2.8</x:v>
      </x:c>
      <x:c r="F24" s="47" t="n">
        <x:v>2</x:v>
      </x:c>
      <x:c r="G24" s="53" t="n">
        <x:f>E24-'UocLuongOLS'!$B$6</x:f>
        <x:v>-1.4968503937007878</x:v>
      </x:c>
      <x:c r="H24" s="53" t="n">
        <x:f>F24-'UocLuongOLS'!$B$7</x:f>
        <x:v>-0.07952755905511877</x:v>
      </x:c>
      <x:c r="I24" s="53" t="n">
        <x:f>G24*H24</x:f>
        <x:v>0.11904085808171717</x:v>
      </x:c>
      <x:c r="J24" s="53" t="n">
        <x:f>G24^2</x:f>
        <x:v>2.2405611011222035</x:v>
      </x:c>
      <x:c r="K24" s="53" t="n">
        <x:f>'UocLuongOLS'!$B$14+'UocLuongOLS'!$B$13*E24</x:f>
        <x:v>2.341999713913137</x:v>
      </x:c>
      <x:c r="L24" s="53" t="n">
        <x:f>F24-K24</x:f>
        <x:v>-0.341999713913137</x:v>
      </x:c>
      <x:c r="M24" s="53" t="n">
        <x:f>L24^2</x:f>
        <x:v>0.11696380431666754</x:v>
      </x:c>
      <x:c r="N24" s="53" t="n">
        <x:f>H24^2</x:f>
        <x:v>0.006324632649265403</x:v>
      </x:c>
    </x:row>
    <x:row r="25">
      <x:c r="A25" s="15" t="n">
        <x:v>24</x:v>
      </x:c>
      <x:c r="B25" s="15" t="str">
        <x:v>HA211534</x:v>
      </x:c>
      <x:c r="C25" s="15" t="str">
        <x:v>Thạch Hòa</x:v>
      </x:c>
      <x:c r="D25" s="15" t="str">
        <x:v>Phòng trọ cơ bản</x:v>
      </x:c>
      <x:c r="E25" s="47" t="n">
        <x:v>2.8</x:v>
      </x:c>
      <x:c r="F25" s="47" t="n">
        <x:v>2.3</x:v>
      </x:c>
      <x:c r="G25" s="53" t="n">
        <x:f>E25-'UocLuongOLS'!$B$6</x:f>
        <x:v>-1.4968503937007878</x:v>
      </x:c>
      <x:c r="H25" s="53" t="n">
        <x:f>F25-'UocLuongOLS'!$B$7</x:f>
        <x:v>0.22047244094488105</x:v>
      </x:c>
      <x:c r="I25" s="53" t="n">
        <x:f>G25*H25</x:f>
        <x:v>-0.3300142600285189</x:v>
      </x:c>
      <x:c r="J25" s="53" t="n">
        <x:f>G25^2</x:f>
        <x:v>2.2405611011222035</x:v>
      </x:c>
      <x:c r="K25" s="53" t="n">
        <x:f>'UocLuongOLS'!$B$14+'UocLuongOLS'!$B$13*E25</x:f>
        <x:v>2.341999713913137</x:v>
      </x:c>
      <x:c r="L25" s="53" t="n">
        <x:f>F25-K25</x:f>
        <x:v>-0.04199971391313717</x:v>
      </x:c>
      <x:c r="M25" s="53" t="n">
        <x:f>L25^2</x:f>
        <x:v>0.001763975968785368</x:v>
      </x:c>
      <x:c r="N25" s="53" t="n">
        <x:f>H25^2</x:f>
        <x:v>0.048608097216194066</x:v>
      </x:c>
    </x:row>
    <x:row r="26">
      <x:c r="A26" s="15" t="n">
        <x:v>25</x:v>
      </x:c>
      <x:c r="B26" s="15" t="str">
        <x:v>HA184604</x:v>
      </x:c>
      <x:c r="C26" s="15" t="str">
        <x:v>Tân Xã</x:v>
      </x:c>
      <x:c r="D26" s="15" t="str">
        <x:v>Chung cư mini/Studio</x:v>
      </x:c>
      <x:c r="E26" s="47" t="n">
        <x:v>2.8</x:v>
      </x:c>
      <x:c r="F26" s="47" t="n">
        <x:v>2.8</x:v>
      </x:c>
      <x:c r="G26" s="53" t="n">
        <x:f>E26-'UocLuongOLS'!$B$6</x:f>
        <x:v>-1.4968503937007878</x:v>
      </x:c>
      <x:c r="H26" s="53" t="n">
        <x:f>F26-'UocLuongOLS'!$B$7</x:f>
        <x:v>0.720472440944881</x:v>
      </x:c>
      <x:c r="I26" s="53" t="n">
        <x:f>G26*H26</x:f>
        <x:v>-1.0784394568789128</x:v>
      </x:c>
      <x:c r="J26" s="53" t="n">
        <x:f>G26^2</x:f>
        <x:v>2.2405611011222035</x:v>
      </x:c>
      <x:c r="K26" s="53" t="n">
        <x:f>'UocLuongOLS'!$B$14+'UocLuongOLS'!$B$13*E26</x:f>
        <x:v>2.341999713913137</x:v>
      </x:c>
      <x:c r="L26" s="53" t="n">
        <x:f>F26-K26</x:f>
        <x:v>0.45800028608686283</x:v>
      </x:c>
      <x:c r="M26" s="53" t="n">
        <x:f>L26^2</x:f>
        <x:v>0.2097642620556482</x:v>
      </x:c>
      <x:c r="N26" s="53" t="n">
        <x:f>H26^2</x:f>
        <x:v>0.5190805381610751</x:v>
      </x:c>
    </x:row>
    <x:row r="27">
      <x:c r="A27" s="15" t="n">
        <x:v>26</x:v>
      </x:c>
      <x:c r="B27" s="15" t="str">
        <x:v>HA195055</x:v>
      </x:c>
      <x:c r="C27" s="15" t="str">
        <x:v>Thạch Hòa</x:v>
      </x:c>
      <x:c r="D27" s="15" t="str">
        <x:v>Phòng trọ cơ bản</x:v>
      </x:c>
      <x:c r="E27" s="47" t="n">
        <x:v>2.9</x:v>
      </x:c>
      <x:c r="F27" s="47" t="n">
        <x:v>2.2</x:v>
      </x:c>
      <x:c r="G27" s="53" t="n">
        <x:f>E27-'UocLuongOLS'!$B$6</x:f>
        <x:v>-1.3968503937007877</x:v>
      </x:c>
      <x:c r="H27" s="53" t="n">
        <x:f>F27-'UocLuongOLS'!$B$7</x:f>
        <x:v>0.12047244094488141</x:v>
      </x:c>
      <x:c r="I27" s="53" t="n">
        <x:f>G27*H27</x:f>
        <x:v>-0.1682819765639525</x:v>
      </x:c>
      <x:c r="J27" s="53" t="n">
        <x:f>G27^2</x:f>
        <x:v>1.9511910223820454</x:v>
      </x:c>
      <x:c r="K27" s="53" t="n">
        <x:f>'UocLuongOLS'!$B$14+'UocLuongOLS'!$B$13*E27</x:f>
        <x:v>2.3244647514370884</x:v>
      </x:c>
      <x:c r="L27" s="53" t="n">
        <x:f>F27-K27</x:f>
        <x:v>-0.12446475143708824</x:v>
      </x:c>
      <x:c r="M27" s="53" t="n">
        <x:f>L27^2</x:f>
        <x:v>0.015491474350296158</x:v>
      </x:c>
      <x:c r="N27" s="53" t="n">
        <x:f>H27^2</x:f>
        <x:v>0.014513609027217938</x:v>
      </x:c>
    </x:row>
    <x:row r="28">
      <x:c r="A28" s="15" t="n">
        <x:v>27</x:v>
      </x:c>
      <x:c r="B28" s="15" t="str">
        <x:v>HC212962</x:v>
      </x:c>
      <x:c r="C28" s="15" t="str">
        <x:v>Tân Xã</x:v>
      </x:c>
      <x:c r="D28" s="15" t="str">
        <x:v>Chung cư mini/Studio</x:v>
      </x:c>
      <x:c r="E28" s="47" t="n">
        <x:v>2.9</x:v>
      </x:c>
      <x:c r="F28" s="47" t="n">
        <x:v>2.7</x:v>
      </x:c>
      <x:c r="G28" s="53" t="n">
        <x:f>E28-'UocLuongOLS'!$B$6</x:f>
        <x:v>-1.3968503937007877</x:v>
      </x:c>
      <x:c r="H28" s="53" t="n">
        <x:f>F28-'UocLuongOLS'!$B$7</x:f>
        <x:v>0.6204724409448814</x:v>
      </x:c>
      <x:c r="I28" s="53" t="n">
        <x:f>G28*H28</x:f>
        <x:v>-0.8667071734143463</x:v>
      </x:c>
      <x:c r="J28" s="53" t="n">
        <x:f>G28^2</x:f>
        <x:v>1.9511910223820454</x:v>
      </x:c>
      <x:c r="K28" s="53" t="n">
        <x:f>'UocLuongOLS'!$B$14+'UocLuongOLS'!$B$13*E28</x:f>
        <x:v>2.3244647514370884</x:v>
      </x:c>
      <x:c r="L28" s="53" t="n">
        <x:f>F28-K28</x:f>
        <x:v>0.37553524856291176</x:v>
      </x:c>
      <x:c r="M28" s="53" t="n">
        <x:f>L28^2</x:f>
        <x:v>0.14102672291320792</x:v>
      </x:c>
      <x:c r="N28" s="53" t="n">
        <x:f>H28^2</x:f>
        <x:v>0.38498604997209934</x:v>
      </x:c>
    </x:row>
    <x:row r="29">
      <x:c r="A29" s="15" t="n">
        <x:v>28</x:v>
      </x:c>
      <x:c r="B29" s="15" t="str">
        <x:v>HS180969</x:v>
      </x:c>
      <x:c r="C29" s="15" t="str">
        <x:v>Thạch Hòa</x:v>
      </x:c>
      <x:c r="D29" s="15" t="str">
        <x:v>Chung cư mini</x:v>
      </x:c>
      <x:c r="E29" s="47" t="n">
        <x:v>3</x:v>
      </x:c>
      <x:c r="F29" s="47" t="n">
        <x:v>3.1</x:v>
      </x:c>
      <x:c r="G29" s="53" t="n">
        <x:f>E29-'UocLuongOLS'!$B$6</x:f>
        <x:v>-1.2968503937007876</x:v>
      </x:c>
      <x:c r="H29" s="53" t="n">
        <x:f>F29-'UocLuongOLS'!$B$7</x:f>
        <x:v>1.0204724409448813</x:v>
      </x:c>
      <x:c r="I29" s="53" t="n">
        <x:f>G29*H29</x:f>
        <x:v>-1.323400086800173</x:v>
      </x:c>
      <x:c r="J29" s="53" t="n">
        <x:f>G29^2</x:f>
        <x:v>1.6818209436418878</x:v>
      </x:c>
      <x:c r="K29" s="53" t="n">
        <x:f>'UocLuongOLS'!$B$14+'UocLuongOLS'!$B$13*E29</x:f>
        <x:v>2.30692978896104</x:v>
      </x:c>
      <x:c r="L29" s="53" t="n">
        <x:f>F29-K29</x:f>
        <x:v>0.7930702110389602</x:v>
      </x:c>
      <x:c r="M29" s="53" t="n">
        <x:f>L29^2</x:f>
        <x:v>0.628960359637381</x:v>
      </x:c>
      <x:c r="N29" s="53" t="n">
        <x:f>H29^2</x:f>
        <x:v>1.0413640027280042</x:v>
      </x:c>
    </x:row>
    <x:row r="30">
      <x:c r="A30" s="15" t="n">
        <x:v>29</x:v>
      </x:c>
      <x:c r="B30" s="15" t="str">
        <x:v>HE191342</x:v>
      </x:c>
      <x:c r="C30" s="15" t="str">
        <x:v>Tân Xã</x:v>
      </x:c>
      <x:c r="D30" s="15" t="str">
        <x:v>Phòng trọ cơ bản</x:v>
      </x:c>
      <x:c r="E30" s="47" t="n">
        <x:v>3</x:v>
      </x:c>
      <x:c r="F30" s="47" t="n">
        <x:v>2.5</x:v>
      </x:c>
      <x:c r="G30" s="53" t="n">
        <x:f>E30-'UocLuongOLS'!$B$6</x:f>
        <x:v>-1.2968503937007876</x:v>
      </x:c>
      <x:c r="H30" s="53" t="n">
        <x:f>F30-'UocLuongOLS'!$B$7</x:f>
        <x:v>0.42047244094488123</x:v>
      </x:c>
      <x:c r="I30" s="53" t="n">
        <x:f>G30*H30</x:f>
        <x:v>-0.5452898505797004</x:v>
      </x:c>
      <x:c r="J30" s="53" t="n">
        <x:f>G30^2</x:f>
        <x:v>1.6818209436418878</x:v>
      </x:c>
      <x:c r="K30" s="53" t="n">
        <x:f>'UocLuongOLS'!$B$14+'UocLuongOLS'!$B$13*E30</x:f>
        <x:v>2.30692978896104</x:v>
      </x:c>
      <x:c r="L30" s="53" t="n">
        <x:f>F30-K30</x:f>
        <x:v>0.19307021103896016</x:v>
      </x:c>
      <x:c r="M30" s="53" t="n">
        <x:f>L30^2</x:f>
        <x:v>0.037276106390628616</x:v>
      </x:c>
      <x:c r="N30" s="53" t="n">
        <x:f>H30^2</x:f>
        <x:v>0.17679707359414665</x:v>
      </x:c>
    </x:row>
    <x:row r="31">
      <x:c r="A31" s="15" t="n">
        <x:v>30</x:v>
      </x:c>
      <x:c r="B31" s="15" t="str">
        <x:v>HS210643</x:v>
      </x:c>
      <x:c r="C31" s="15" t="str">
        <x:v>Thạch Hòa</x:v>
      </x:c>
      <x:c r="D31" s="15" t="str">
        <x:v>Phòng trọ cơ bản</x:v>
      </x:c>
      <x:c r="E31" s="47" t="n">
        <x:v>3</x:v>
      </x:c>
      <x:c r="F31" s="47" t="n">
        <x:v>2.1</x:v>
      </x:c>
      <x:c r="G31" s="53" t="n">
        <x:f>E31-'UocLuongOLS'!$B$6</x:f>
        <x:v>-1.2968503937007876</x:v>
      </x:c>
      <x:c r="H31" s="53" t="n">
        <x:f>F31-'UocLuongOLS'!$B$7</x:f>
        <x:v>0.02047244094488132</x:v>
      </x:c>
      <x:c r="I31" s="53" t="n">
        <x:f>G31*H31</x:f>
        <x:v>-0.026549693099385464</x:v>
      </x:c>
      <x:c r="J31" s="53" t="n">
        <x:f>G31^2</x:f>
        <x:v>1.6818209436418878</x:v>
      </x:c>
      <x:c r="K31" s="53" t="n">
        <x:f>'UocLuongOLS'!$B$14+'UocLuongOLS'!$B$13*E31</x:f>
        <x:v>2.30692978896104</x:v>
      </x:c>
      <x:c r="L31" s="53" t="n">
        <x:f>F31-K31</x:f>
        <x:v>-0.20692978896103975</x:v>
      </x:c>
      <x:c r="M31" s="53" t="n">
        <x:f>L31^2</x:f>
        <x:v>0.042819937559460446</x:v>
      </x:c>
      <x:c r="N31" s="53" t="n">
        <x:f>H31^2</x:f>
        <x:v>0.00041912083824165316</x:v>
      </x:c>
    </x:row>
    <x:row r="32">
      <x:c r="A32" s="15" t="n">
        <x:v>31</x:v>
      </x:c>
      <x:c r="B32" s="15" t="str">
        <x:v>HE186023</x:v>
      </x:c>
      <x:c r="C32" s="15" t="str">
        <x:v>Tân Xã</x:v>
      </x:c>
      <x:c r="D32" s="15" t="str">
        <x:v>Phòng khép kín</x:v>
      </x:c>
      <x:c r="E32" s="47" t="n">
        <x:v>3</x:v>
      </x:c>
      <x:c r="F32" s="47" t="n">
        <x:v>2.5</x:v>
      </x:c>
      <x:c r="G32" s="53" t="n">
        <x:f>E32-'UocLuongOLS'!$B$6</x:f>
        <x:v>-1.2968503937007876</x:v>
      </x:c>
      <x:c r="H32" s="53" t="n">
        <x:f>F32-'UocLuongOLS'!$B$7</x:f>
        <x:v>0.42047244094488123</x:v>
      </x:c>
      <x:c r="I32" s="53" t="n">
        <x:f>G32*H32</x:f>
        <x:v>-0.5452898505797004</x:v>
      </x:c>
      <x:c r="J32" s="53" t="n">
        <x:f>G32^2</x:f>
        <x:v>1.6818209436418878</x:v>
      </x:c>
      <x:c r="K32" s="53" t="n">
        <x:f>'UocLuongOLS'!$B$14+'UocLuongOLS'!$B$13*E32</x:f>
        <x:v>2.30692978896104</x:v>
      </x:c>
      <x:c r="L32" s="53" t="n">
        <x:f>F32-K32</x:f>
        <x:v>0.19307021103896016</x:v>
      </x:c>
      <x:c r="M32" s="53" t="n">
        <x:f>L32^2</x:f>
        <x:v>0.037276106390628616</x:v>
      </x:c>
      <x:c r="N32" s="53" t="n">
        <x:f>H32^2</x:f>
        <x:v>0.17679707359414665</x:v>
      </x:c>
    </x:row>
    <x:row r="33">
      <x:c r="A33" s="15" t="n">
        <x:v>32</x:v>
      </x:c>
      <x:c r="B33" s="15" t="str">
        <x:v>HE188935</x:v>
      </x:c>
      <x:c r="C33" s="15" t="str">
        <x:v>Thạch Hòa</x:v>
      </x:c>
      <x:c r="D33" s="15" t="str">
        <x:v>Chung cư mini</x:v>
      </x:c>
      <x:c r="E33" s="47" t="n">
        <x:v>3</x:v>
      </x:c>
      <x:c r="F33" s="47" t="n">
        <x:v>3</x:v>
      </x:c>
      <x:c r="G33" s="53" t="n">
        <x:f>E33-'UocLuongOLS'!$B$6</x:f>
        <x:v>-1.2968503937007876</x:v>
      </x:c>
      <x:c r="H33" s="53" t="n">
        <x:f>F33-'UocLuongOLS'!$B$7</x:f>
        <x:v>0.9204724409448812</x:v>
      </x:c>
      <x:c r="I33" s="53" t="n">
        <x:f>G33*H33</x:f>
        <x:v>-1.1937150474300942</x:v>
      </x:c>
      <x:c r="J33" s="53" t="n">
        <x:f>G33^2</x:f>
        <x:v>1.6818209436418878</x:v>
      </x:c>
      <x:c r="K33" s="53" t="n">
        <x:f>'UocLuongOLS'!$B$14+'UocLuongOLS'!$B$13*E33</x:f>
        <x:v>2.30692978896104</x:v>
      </x:c>
      <x:c r="L33" s="53" t="n">
        <x:f>F33-K33</x:f>
        <x:v>0.6930702110389602</x:v>
      </x:c>
      <x:c r="M33" s="53" t="n">
        <x:f>L33^2</x:f>
        <x:v>0.4803463174295888</x:v>
      </x:c>
      <x:c r="N33" s="53" t="n">
        <x:f>H33^2</x:f>
        <x:v>0.8472695145390279</x:v>
      </x:c>
    </x:row>
    <x:row r="34">
      <x:c r="A34" s="15" t="n">
        <x:v>33</x:v>
      </x:c>
      <x:c r="B34" s="15" t="str">
        <x:v>HE185306</x:v>
      </x:c>
      <x:c r="C34" s="15" t="str">
        <x:v>Tân Xã</x:v>
      </x:c>
      <x:c r="D34" s="15" t="str">
        <x:v>Phòng trọ cơ bản</x:v>
      </x:c>
      <x:c r="E34" s="47" t="n">
        <x:v>3.1</x:v>
      </x:c>
      <x:c r="F34" s="47" t="n">
        <x:v>2.1</x:v>
      </x:c>
      <x:c r="G34" s="53" t="n">
        <x:f>E34-'UocLuongOLS'!$B$6</x:f>
        <x:v>-1.1968503937007875</x:v>
      </x:c>
      <x:c r="H34" s="53" t="n">
        <x:f>F34-'UocLuongOLS'!$B$7</x:f>
        <x:v>0.02047244094488132</x:v>
      </x:c>
      <x:c r="I34" s="53" t="n">
        <x:f>G34*H34</x:f>
        <x:v>-0.02450244900489733</x:v>
      </x:c>
      <x:c r="J34" s="53" t="n">
        <x:f>G34^2</x:f>
        <x:v>1.43245086490173</x:v>
      </x:c>
      <x:c r="K34" s="53" t="n">
        <x:f>'UocLuongOLS'!$B$14+'UocLuongOLS'!$B$13*E34</x:f>
        <x:v>2.2893948264849913</x:v>
      </x:c>
      <x:c r="L34" s="53" t="n">
        <x:f>F34-K34</x:f>
        <x:v>-0.18939482648499117</x:v>
      </x:c>
      <x:c r="M34" s="53" t="n">
        <x:f>L34^2</x:f>
        <x:v>0.03587040029927992</x:v>
      </x:c>
      <x:c r="N34" s="53" t="n">
        <x:f>H34^2</x:f>
        <x:v>0.00041912083824165316</x:v>
      </x:c>
    </x:row>
    <x:row r="35">
      <x:c r="A35" s="15" t="n">
        <x:v>34</x:v>
      </x:c>
      <x:c r="B35" s="15" t="str">
        <x:v>HS183658</x:v>
      </x:c>
      <x:c r="C35" s="15" t="str">
        <x:v>Tân Xã</x:v>
      </x:c>
      <x:c r="D35" s="15" t="str">
        <x:v>Chung cư mini/Studio</x:v>
      </x:c>
      <x:c r="E35" s="47" t="n">
        <x:v>3.1</x:v>
      </x:c>
      <x:c r="F35" s="47" t="n">
        <x:v>2.8</x:v>
      </x:c>
      <x:c r="G35" s="53" t="n">
        <x:f>E35-'UocLuongOLS'!$B$6</x:f>
        <x:v>-1.1968503937007875</x:v>
      </x:c>
      <x:c r="H35" s="53" t="n">
        <x:f>F35-'UocLuongOLS'!$B$7</x:f>
        <x:v>0.720472440944881</x:v>
      </x:c>
      <x:c r="I35" s="53" t="n">
        <x:f>G35*H35</x:f>
        <x:v>-0.8622977245954483</x:v>
      </x:c>
      <x:c r="J35" s="53" t="n">
        <x:f>G35^2</x:f>
        <x:v>1.43245086490173</x:v>
      </x:c>
      <x:c r="K35" s="53" t="n">
        <x:f>'UocLuongOLS'!$B$14+'UocLuongOLS'!$B$13*E35</x:f>
        <x:v>2.2893948264849913</x:v>
      </x:c>
      <x:c r="L35" s="53" t="n">
        <x:f>F35-K35</x:f>
        <x:v>0.5106051735150086</x:v>
      </x:c>
      <x:c r="M35" s="53" t="n">
        <x:f>L35^2</x:f>
        <x:v>0.260717643220292</x:v>
      </x:c>
      <x:c r="N35" s="53" t="n">
        <x:f>H35^2</x:f>
        <x:v>0.5190805381610751</x:v>
      </x:c>
    </x:row>
    <x:row r="36">
      <x:c r="A36" s="15" t="n">
        <x:v>35</x:v>
      </x:c>
      <x:c r="B36" s="15" t="str">
        <x:v>HA180977</x:v>
      </x:c>
      <x:c r="C36" s="15" t="str">
        <x:v>Thạch Hòa</x:v>
      </x:c>
      <x:c r="D36" s="15" t="str">
        <x:v>Phòng trọ cơ bản</x:v>
      </x:c>
      <x:c r="E36" s="47" t="n">
        <x:v>3.1</x:v>
      </x:c>
      <x:c r="F36" s="47" t="n">
        <x:v>2</x:v>
      </x:c>
      <x:c r="G36" s="53" t="n">
        <x:f>E36-'UocLuongOLS'!$B$6</x:f>
        <x:v>-1.1968503937007875</x:v>
      </x:c>
      <x:c r="H36" s="53" t="n">
        <x:f>F36-'UocLuongOLS'!$B$7</x:f>
        <x:v>-0.07952755905511877</x:v>
      </x:c>
      <x:c r="I36" s="53" t="n">
        <x:f>G36*H36</x:f>
        <x:v>0.09518259036518152</x:v>
      </x:c>
      <x:c r="J36" s="53" t="n">
        <x:f>G36^2</x:f>
        <x:v>1.43245086490173</x:v>
      </x:c>
      <x:c r="K36" s="53" t="n">
        <x:f>'UocLuongOLS'!$B$14+'UocLuongOLS'!$B$13*E36</x:f>
        <x:v>2.2893948264849913</x:v>
      </x:c>
      <x:c r="L36" s="53" t="n">
        <x:f>F36-K36</x:f>
        <x:v>-0.28939482648499126</x:v>
      </x:c>
      <x:c r="M36" s="53" t="n">
        <x:f>L36^2</x:f>
        <x:v>0.0837493655962782</x:v>
      </x:c>
      <x:c r="N36" s="53" t="n">
        <x:f>H36^2</x:f>
        <x:v>0.006324632649265403</x:v>
      </x:c>
    </x:row>
    <x:row r="37">
      <x:c r="A37" s="15" t="n">
        <x:v>36</x:v>
      </x:c>
      <x:c r="B37" s="15" t="str">
        <x:v>HE185738</x:v>
      </x:c>
      <x:c r="C37" s="15" t="str">
        <x:v>Tân Xã</x:v>
      </x:c>
      <x:c r="D37" s="15" t="str">
        <x:v>Phòng trọ cơ bản</x:v>
      </x:c>
      <x:c r="E37" s="47" t="n">
        <x:v>3.1</x:v>
      </x:c>
      <x:c r="F37" s="47" t="n">
        <x:v>2.2</x:v>
      </x:c>
      <x:c r="G37" s="53" t="n">
        <x:f>E37-'UocLuongOLS'!$B$6</x:f>
        <x:v>-1.1968503937007875</x:v>
      </x:c>
      <x:c r="H37" s="53" t="n">
        <x:f>F37-'UocLuongOLS'!$B$7</x:f>
        <x:v>0.12047244094488141</x:v>
      </x:c>
      <x:c r="I37" s="53" t="n">
        <x:f>G37*H37</x:f>
        <x:v>-0.1441874883749762</x:v>
      </x:c>
      <x:c r="J37" s="53" t="n">
        <x:f>G37^2</x:f>
        <x:v>1.43245086490173</x:v>
      </x:c>
      <x:c r="K37" s="53" t="n">
        <x:f>'UocLuongOLS'!$B$14+'UocLuongOLS'!$B$13*E37</x:f>
        <x:v>2.2893948264849913</x:v>
      </x:c>
      <x:c r="L37" s="53" t="n">
        <x:f>F37-K37</x:f>
        <x:v>-0.08939482648499109</x:v>
      </x:c>
      <x:c r="M37" s="53" t="n">
        <x:f>L37^2</x:f>
        <x:v>0.007991435002281664</x:v>
      </x:c>
      <x:c r="N37" s="53" t="n">
        <x:f>H37^2</x:f>
        <x:v>0.014513609027217938</x:v>
      </x:c>
    </x:row>
    <x:row r="38">
      <x:c r="A38" s="15" t="n">
        <x:v>37</x:v>
      </x:c>
      <x:c r="B38" s="15" t="str">
        <x:v>HE211183</x:v>
      </x:c>
      <x:c r="C38" s="15" t="str">
        <x:v>Tân Xã</x:v>
      </x:c>
      <x:c r="D38" s="15" t="str">
        <x:v>Phòng trọ cơ bản</x:v>
      </x:c>
      <x:c r="E38" s="47" t="n">
        <x:v>3.1</x:v>
      </x:c>
      <x:c r="F38" s="47" t="n">
        <x:v>2.2</x:v>
      </x:c>
      <x:c r="G38" s="53" t="n">
        <x:f>E38-'UocLuongOLS'!$B$6</x:f>
        <x:v>-1.1968503937007875</x:v>
      </x:c>
      <x:c r="H38" s="53" t="n">
        <x:f>F38-'UocLuongOLS'!$B$7</x:f>
        <x:v>0.12047244094488141</x:v>
      </x:c>
      <x:c r="I38" s="53" t="n">
        <x:f>G38*H38</x:f>
        <x:v>-0.1441874883749762</x:v>
      </x:c>
      <x:c r="J38" s="53" t="n">
        <x:f>G38^2</x:f>
        <x:v>1.43245086490173</x:v>
      </x:c>
      <x:c r="K38" s="53" t="n">
        <x:f>'UocLuongOLS'!$B$14+'UocLuongOLS'!$B$13*E38</x:f>
        <x:v>2.2893948264849913</x:v>
      </x:c>
      <x:c r="L38" s="53" t="n">
        <x:f>F38-K38</x:f>
        <x:v>-0.08939482648499109</x:v>
      </x:c>
      <x:c r="M38" s="53" t="n">
        <x:f>L38^2</x:f>
        <x:v>0.007991435002281664</x:v>
      </x:c>
      <x:c r="N38" s="53" t="n">
        <x:f>H38^2</x:f>
        <x:v>0.014513609027217938</x:v>
      </x:c>
    </x:row>
    <x:row r="39">
      <x:c r="A39" s="15" t="n">
        <x:v>38</x:v>
      </x:c>
      <x:c r="B39" s="15" t="str">
        <x:v>HA192472</x:v>
      </x:c>
      <x:c r="C39" s="15" t="str">
        <x:v>Thạch Hòa</x:v>
      </x:c>
      <x:c r="D39" s="15" t="str">
        <x:v>Phòng trọ cơ bản</x:v>
      </x:c>
      <x:c r="E39" s="47" t="n">
        <x:v>3.2</x:v>
      </x:c>
      <x:c r="F39" s="47" t="n">
        <x:v>2.1</x:v>
      </x:c>
      <x:c r="G39" s="53" t="n">
        <x:f>E39-'UocLuongOLS'!$B$6</x:f>
        <x:v>-1.0968503937007874</x:v>
      </x:c>
      <x:c r="H39" s="53" t="n">
        <x:f>F39-'UocLuongOLS'!$B$7</x:f>
        <x:v>0.02047244094488132</x:v>
      </x:c>
      <x:c r="I39" s="53" t="n">
        <x:f>G39*H39</x:f>
        <x:v>-0.022455204910409195</x:v>
      </x:c>
      <x:c r="J39" s="53" t="n">
        <x:f>G39^2</x:f>
        <x:v>1.2030807861615724</x:v>
      </x:c>
      <x:c r="K39" s="53" t="n">
        <x:f>'UocLuongOLS'!$B$14+'UocLuongOLS'!$B$13*E39</x:f>
        <x:v>2.2718598640089427</x:v>
      </x:c>
      <x:c r="L39" s="53" t="n">
        <x:f>F39-K39</x:f>
        <x:v>-0.1718598640089426</x:v>
      </x:c>
      <x:c r="M39" s="53" t="n">
        <x:f>L39^2</x:f>
        <x:v>0.029535812857172244</x:v>
      </x:c>
      <x:c r="N39" s="53" t="n">
        <x:f>H39^2</x:f>
        <x:v>0.00041912083824165316</x:v>
      </x:c>
    </x:row>
    <x:row r="40">
      <x:c r="A40" s="15" t="n">
        <x:v>39</x:v>
      </x:c>
      <x:c r="B40" s="15" t="str">
        <x:v>HS207629</x:v>
      </x:c>
      <x:c r="C40" s="15" t="str">
        <x:v>Tân Xã</x:v>
      </x:c>
      <x:c r="D40" s="15" t="str">
        <x:v>Phòng trọ cơ bản</x:v>
      </x:c>
      <x:c r="E40" s="47" t="n">
        <x:v>3.2</x:v>
      </x:c>
      <x:c r="F40" s="47" t="n">
        <x:v>2.2</x:v>
      </x:c>
      <x:c r="G40" s="53" t="n">
        <x:f>E40-'UocLuongOLS'!$B$6</x:f>
        <x:v>-1.0968503937007874</x:v>
      </x:c>
      <x:c r="H40" s="53" t="n">
        <x:f>F40-'UocLuongOLS'!$B$7</x:f>
        <x:v>0.12047244094488141</x:v>
      </x:c>
      <x:c r="I40" s="53" t="n">
        <x:f>G40*H40</x:f>
        <x:v>-0.13214024428048804</x:v>
      </x:c>
      <x:c r="J40" s="53" t="n">
        <x:f>G40^2</x:f>
        <x:v>1.2030807861615724</x:v>
      </x:c>
      <x:c r="K40" s="53" t="n">
        <x:f>'UocLuongOLS'!$B$14+'UocLuongOLS'!$B$13*E40</x:f>
        <x:v>2.2718598640089427</x:v>
      </x:c>
      <x:c r="L40" s="53" t="n">
        <x:f>F40-K40</x:f>
        <x:v>-0.07185986400894251</x:v>
      </x:c>
      <x:c r="M40" s="53" t="n">
        <x:f>L40^2</x:f>
        <x:v>0.005163840055383711</x:v>
      </x:c>
      <x:c r="N40" s="53" t="n">
        <x:f>H40^2</x:f>
        <x:v>0.014513609027217938</x:v>
      </x:c>
    </x:row>
    <x:row r="41">
      <x:c r="A41" s="15" t="n">
        <x:v>40</x:v>
      </x:c>
      <x:c r="B41" s="15" t="str">
        <x:v>HE198138</x:v>
      </x:c>
      <x:c r="C41" s="15" t="str">
        <x:v>Thạch Hòa</x:v>
      </x:c>
      <x:c r="D41" s="15" t="str">
        <x:v>Chung cư mini</x:v>
      </x:c>
      <x:c r="E41" s="47" t="n">
        <x:v>3.2</x:v>
      </x:c>
      <x:c r="F41" s="47" t="n">
        <x:v>2.7</x:v>
      </x:c>
      <x:c r="G41" s="53" t="n">
        <x:f>E41-'UocLuongOLS'!$B$6</x:f>
        <x:v>-1.0968503937007874</x:v>
      </x:c>
      <x:c r="H41" s="53" t="n">
        <x:f>F41-'UocLuongOLS'!$B$7</x:f>
        <x:v>0.6204724409448814</x:v>
      </x:c>
      <x:c r="I41" s="53" t="n">
        <x:f>G41*H41</x:f>
        <x:v>-0.6805654411308817</x:v>
      </x:c>
      <x:c r="J41" s="53" t="n">
        <x:f>G41^2</x:f>
        <x:v>1.2030807861615724</x:v>
      </x:c>
      <x:c r="K41" s="53" t="n">
        <x:f>'UocLuongOLS'!$B$14+'UocLuongOLS'!$B$13*E41</x:f>
        <x:v>2.2718598640089427</x:v>
      </x:c>
      <x:c r="L41" s="53" t="n">
        <x:f>F41-K41</x:f>
        <x:v>0.4281401359910575</x:v>
      </x:c>
      <x:c r="M41" s="53" t="n">
        <x:f>L41^2</x:f>
        <x:v>0.1833039760464412</x:v>
      </x:c>
      <x:c r="N41" s="53" t="n">
        <x:f>H41^2</x:f>
        <x:v>0.38498604997209934</x:v>
      </x:c>
    </x:row>
    <x:row r="42">
      <x:c r="A42" s="15" t="n">
        <x:v>41</x:v>
      </x:c>
      <x:c r="B42" s="15" t="str">
        <x:v>HE215088</x:v>
      </x:c>
      <x:c r="C42" s="15" t="str">
        <x:v>Tân Xã</x:v>
      </x:c>
      <x:c r="D42" s="15" t="str">
        <x:v>Phòng trọ cơ bản</x:v>
      </x:c>
      <x:c r="E42" s="47" t="n">
        <x:v>3.2</x:v>
      </x:c>
      <x:c r="F42" s="47" t="n">
        <x:v>2</x:v>
      </x:c>
      <x:c r="G42" s="53" t="n">
        <x:f>E42-'UocLuongOLS'!$B$6</x:f>
        <x:v>-1.0968503937007874</x:v>
      </x:c>
      <x:c r="H42" s="53" t="n">
        <x:f>F42-'UocLuongOLS'!$B$7</x:f>
        <x:v>-0.07952755905511877</x:v>
      </x:c>
      <x:c r="I42" s="53" t="n">
        <x:f>G42*H42</x:f>
        <x:v>0.08722983445966964</x:v>
      </x:c>
      <x:c r="J42" s="53" t="n">
        <x:f>G42^2</x:f>
        <x:v>1.2030807861615724</x:v>
      </x:c>
      <x:c r="K42" s="53" t="n">
        <x:f>'UocLuongOLS'!$B$14+'UocLuongOLS'!$B$13*E42</x:f>
        <x:v>2.2718598640089427</x:v>
      </x:c>
      <x:c r="L42" s="53" t="n">
        <x:f>F42-K42</x:f>
        <x:v>-0.2718598640089427</x:v>
      </x:c>
      <x:c r="M42" s="53" t="n">
        <x:f>L42^2</x:f>
        <x:v>0.0739077856589608</x:v>
      </x:c>
      <x:c r="N42" s="53" t="n">
        <x:f>H42^2</x:f>
        <x:v>0.006324632649265403</x:v>
      </x:c>
    </x:row>
    <x:row r="43">
      <x:c r="A43" s="15" t="n">
        <x:v>42</x:v>
      </x:c>
      <x:c r="B43" s="15" t="str">
        <x:v>HS184517</x:v>
      </x:c>
      <x:c r="C43" s="15" t="str">
        <x:v>Tân Xã</x:v>
      </x:c>
      <x:c r="D43" s="15" t="str">
        <x:v>Phòng trọ cơ bản</x:v>
      </x:c>
      <x:c r="E43" s="47" t="n">
        <x:v>3.2</x:v>
      </x:c>
      <x:c r="F43" s="47" t="n">
        <x:v>2.2</x:v>
      </x:c>
      <x:c r="G43" s="53" t="n">
        <x:f>E43-'UocLuongOLS'!$B$6</x:f>
        <x:v>-1.0968503937007874</x:v>
      </x:c>
      <x:c r="H43" s="53" t="n">
        <x:f>F43-'UocLuongOLS'!$B$7</x:f>
        <x:v>0.12047244094488141</x:v>
      </x:c>
      <x:c r="I43" s="53" t="n">
        <x:f>G43*H43</x:f>
        <x:v>-0.13214024428048804</x:v>
      </x:c>
      <x:c r="J43" s="53" t="n">
        <x:f>G43^2</x:f>
        <x:v>1.2030807861615724</x:v>
      </x:c>
      <x:c r="K43" s="53" t="n">
        <x:f>'UocLuongOLS'!$B$14+'UocLuongOLS'!$B$13*E43</x:f>
        <x:v>2.2718598640089427</x:v>
      </x:c>
      <x:c r="L43" s="53" t="n">
        <x:f>F43-K43</x:f>
        <x:v>-0.07185986400894251</x:v>
      </x:c>
      <x:c r="M43" s="53" t="n">
        <x:f>L43^2</x:f>
        <x:v>0.005163840055383711</x:v>
      </x:c>
      <x:c r="N43" s="53" t="n">
        <x:f>H43^2</x:f>
        <x:v>0.014513609027217938</x:v>
      </x:c>
    </x:row>
    <x:row r="44">
      <x:c r="A44" s="15" t="n">
        <x:v>43</x:v>
      </x:c>
      <x:c r="B44" s="15" t="str">
        <x:v>HE196920</x:v>
      </x:c>
      <x:c r="C44" s="15" t="str">
        <x:v>Thạch Hòa</x:v>
      </x:c>
      <x:c r="D44" s="15" t="str">
        <x:v>Chung cư mini</x:v>
      </x:c>
      <x:c r="E44" s="47" t="n">
        <x:v>3.2</x:v>
      </x:c>
      <x:c r="F44" s="47" t="n">
        <x:v>2.7</x:v>
      </x:c>
      <x:c r="G44" s="53" t="n">
        <x:f>E44-'UocLuongOLS'!$B$6</x:f>
        <x:v>-1.0968503937007874</x:v>
      </x:c>
      <x:c r="H44" s="53" t="n">
        <x:f>F44-'UocLuongOLS'!$B$7</x:f>
        <x:v>0.6204724409448814</x:v>
      </x:c>
      <x:c r="I44" s="53" t="n">
        <x:f>G44*H44</x:f>
        <x:v>-0.6805654411308817</x:v>
      </x:c>
      <x:c r="J44" s="53" t="n">
        <x:f>G44^2</x:f>
        <x:v>1.2030807861615724</x:v>
      </x:c>
      <x:c r="K44" s="53" t="n">
        <x:f>'UocLuongOLS'!$B$14+'UocLuongOLS'!$B$13*E44</x:f>
        <x:v>2.2718598640089427</x:v>
      </x:c>
      <x:c r="L44" s="53" t="n">
        <x:f>F44-K44</x:f>
        <x:v>0.4281401359910575</x:v>
      </x:c>
      <x:c r="M44" s="53" t="n">
        <x:f>L44^2</x:f>
        <x:v>0.1833039760464412</x:v>
      </x:c>
      <x:c r="N44" s="53" t="n">
        <x:f>H44^2</x:f>
        <x:v>0.38498604997209934</x:v>
      </x:c>
    </x:row>
    <x:row r="45">
      <x:c r="A45" s="15" t="n">
        <x:v>44</x:v>
      </x:c>
      <x:c r="B45" s="15" t="str">
        <x:v>HE192364</x:v>
      </x:c>
      <x:c r="C45" s="15" t="str">
        <x:v>Thạch Hòa</x:v>
      </x:c>
      <x:c r="D45" s="15" t="str">
        <x:v>Chung cư mini</x:v>
      </x:c>
      <x:c r="E45" s="47" t="n">
        <x:v>3.3</x:v>
      </x:c>
      <x:c r="F45" s="47" t="n">
        <x:v>2.8</x:v>
      </x:c>
      <x:c r="G45" s="53" t="n">
        <x:f>E45-'UocLuongOLS'!$B$6</x:f>
        <x:v>-0.9968503937007878</x:v>
      </x:c>
      <x:c r="H45" s="53" t="n">
        <x:f>F45-'UocLuongOLS'!$B$7</x:f>
        <x:v>0.720472440944881</x:v>
      </x:c>
      <x:c r="I45" s="53" t="n">
        <x:f>G45*H45</x:f>
        <x:v>-0.7182032364064722</x:v>
      </x:c>
      <x:c r="J45" s="53" t="n">
        <x:f>G45^2</x:f>
        <x:v>0.9937107074214155</x:v>
      </x:c>
      <x:c r="K45" s="53" t="n">
        <x:f>'UocLuongOLS'!$B$14+'UocLuongOLS'!$B$13*E45</x:f>
        <x:v>2.254324901532894</x:v>
      </x:c>
      <x:c r="L45" s="53" t="n">
        <x:f>F45-K45</x:f>
        <x:v>0.5456750984671057</x:v>
      </x:c>
      <x:c r="M45" s="53" t="n">
        <x:f>L45^2</x:f>
        <x:v>0.29776131308708553</x:v>
      </x:c>
      <x:c r="N45" s="53" t="n">
        <x:f>H45^2</x:f>
        <x:v>0.5190805381610751</x:v>
      </x:c>
    </x:row>
    <x:row r="46">
      <x:c r="A46" s="15" t="n">
        <x:v>45</x:v>
      </x:c>
      <x:c r="B46" s="15" t="str">
        <x:v>HC211930</x:v>
      </x:c>
      <x:c r="C46" s="15" t="str">
        <x:v>Tân Xã</x:v>
      </x:c>
      <x:c r="D46" s="15" t="str">
        <x:v>Chung cư mini/Studio</x:v>
      </x:c>
      <x:c r="E46" s="47" t="n">
        <x:v>3.3</x:v>
      </x:c>
      <x:c r="F46" s="47" t="n">
        <x:v>2.9</x:v>
      </x:c>
      <x:c r="G46" s="53" t="n">
        <x:f>E46-'UocLuongOLS'!$B$6</x:f>
        <x:v>-0.9968503937007878</x:v>
      </x:c>
      <x:c r="H46" s="53" t="n">
        <x:f>F46-'UocLuongOLS'!$B$7</x:f>
        <x:v>0.8204724409448811</x:v>
      </x:c>
      <x:c r="I46" s="53" t="n">
        <x:f>G46*H46</x:f>
        <x:v>-0.8178882757765511</x:v>
      </x:c>
      <x:c r="J46" s="53" t="n">
        <x:f>G46^2</x:f>
        <x:v>0.9937107074214155</x:v>
      </x:c>
      <x:c r="K46" s="53" t="n">
        <x:f>'UocLuongOLS'!$B$14+'UocLuongOLS'!$B$13*E46</x:f>
        <x:v>2.254324901532894</x:v>
      </x:c>
      <x:c r="L46" s="53" t="n">
        <x:f>F46-K46</x:f>
        <x:v>0.6456750984671058</x:v>
      </x:c>
      <x:c r="M46" s="53" t="n">
        <x:f>L46^2</x:f>
        <x:v>0.41689633278050675</x:v>
      </x:c>
      <x:c r="N46" s="53" t="n">
        <x:f>H46^2</x:f>
        <x:v>0.6731750263500514</x:v>
      </x:c>
    </x:row>
    <x:row r="47">
      <x:c r="A47" s="15" t="n">
        <x:v>46</x:v>
      </x:c>
      <x:c r="B47" s="15" t="str">
        <x:v>HE217469</x:v>
      </x:c>
      <x:c r="C47" s="15" t="str">
        <x:v>Thạch Hòa</x:v>
      </x:c>
      <x:c r="D47" s="15" t="str">
        <x:v>Phòng trọ cơ bản</x:v>
      </x:c>
      <x:c r="E47" s="47" t="n">
        <x:v>3.3</x:v>
      </x:c>
      <x:c r="F47" s="47" t="n">
        <x:v>2.2</x:v>
      </x:c>
      <x:c r="G47" s="53" t="n">
        <x:f>E47-'UocLuongOLS'!$B$6</x:f>
        <x:v>-0.9968503937007878</x:v>
      </x:c>
      <x:c r="H47" s="53" t="n">
        <x:f>F47-'UocLuongOLS'!$B$7</x:f>
        <x:v>0.12047244094488141</x:v>
      </x:c>
      <x:c r="I47" s="53" t="n">
        <x:f>G47*H47</x:f>
        <x:v>-0.12009300018599994</x:v>
      </x:c>
      <x:c r="J47" s="53" t="n">
        <x:f>G47^2</x:f>
        <x:v>0.9937107074214155</x:v>
      </x:c>
      <x:c r="K47" s="53" t="n">
        <x:f>'UocLuongOLS'!$B$14+'UocLuongOLS'!$B$13*E47</x:f>
        <x:v>2.254324901532894</x:v>
      </x:c>
      <x:c r="L47" s="53" t="n">
        <x:f>F47-K47</x:f>
        <x:v>-0.05432490153289393</x:v>
      </x:c>
      <x:c r="M47" s="53" t="n">
        <x:f>L47^2</x:f>
        <x:v>0.0029511949265586214</x:v>
      </x:c>
      <x:c r="N47" s="53" t="n">
        <x:f>H47^2</x:f>
        <x:v>0.014513609027217938</x:v>
      </x:c>
    </x:row>
    <x:row r="48">
      <x:c r="A48" s="15" t="n">
        <x:v>47</x:v>
      </x:c>
      <x:c r="B48" s="15" t="str">
        <x:v>HE184884</x:v>
      </x:c>
      <x:c r="C48" s="15" t="str">
        <x:v>Thạch Hòa</x:v>
      </x:c>
      <x:c r="D48" s="15" t="str">
        <x:v>Phòng trọ cơ bản</x:v>
      </x:c>
      <x:c r="E48" s="47" t="n">
        <x:v>3.3</x:v>
      </x:c>
      <x:c r="F48" s="47" t="n">
        <x:v>2.2</x:v>
      </x:c>
      <x:c r="G48" s="53" t="n">
        <x:f>E48-'UocLuongOLS'!$B$6</x:f>
        <x:v>-0.9968503937007878</x:v>
      </x:c>
      <x:c r="H48" s="53" t="n">
        <x:f>F48-'UocLuongOLS'!$B$7</x:f>
        <x:v>0.12047244094488141</x:v>
      </x:c>
      <x:c r="I48" s="53" t="n">
        <x:f>G48*H48</x:f>
        <x:v>-0.12009300018599994</x:v>
      </x:c>
      <x:c r="J48" s="53" t="n">
        <x:f>G48^2</x:f>
        <x:v>0.9937107074214155</x:v>
      </x:c>
      <x:c r="K48" s="53" t="n">
        <x:f>'UocLuongOLS'!$B$14+'UocLuongOLS'!$B$13*E48</x:f>
        <x:v>2.254324901532894</x:v>
      </x:c>
      <x:c r="L48" s="53" t="n">
        <x:f>F48-K48</x:f>
        <x:v>-0.05432490153289393</x:v>
      </x:c>
      <x:c r="M48" s="53" t="n">
        <x:f>L48^2</x:f>
        <x:v>0.0029511949265586214</x:v>
      </x:c>
      <x:c r="N48" s="53" t="n">
        <x:f>H48^2</x:f>
        <x:v>0.014513609027217938</x:v>
      </x:c>
    </x:row>
    <x:row r="49">
      <x:c r="A49" s="15" t="n">
        <x:v>48</x:v>
      </x:c>
      <x:c r="B49" s="15" t="str">
        <x:v>HS182946</x:v>
      </x:c>
      <x:c r="C49" s="15" t="str">
        <x:v>Thạch Hòa</x:v>
      </x:c>
      <x:c r="D49" s="15" t="str">
        <x:v>Chung cư mini</x:v>
      </x:c>
      <x:c r="E49" s="47" t="n">
        <x:v>3.4</x:v>
      </x:c>
      <x:c r="F49" s="47" t="n">
        <x:v>2.7</x:v>
      </x:c>
      <x:c r="G49" s="53" t="n">
        <x:f>E49-'UocLuongOLS'!$B$6</x:f>
        <x:v>-0.8968503937007877</x:v>
      </x:c>
      <x:c r="H49" s="53" t="n">
        <x:f>F49-'UocLuongOLS'!$B$7</x:f>
        <x:v>0.6204724409448814</x:v>
      </x:c>
      <x:c r="I49" s="53" t="n">
        <x:f>G49*H49</x:f>
        <x:v>-0.5564709529419056</x:v>
      </x:c>
      <x:c r="J49" s="53" t="n">
        <x:f>G49^2</x:f>
        <x:v>0.8043406286812579</x:v>
      </x:c>
      <x:c r="K49" s="53" t="n">
        <x:f>'UocLuongOLS'!$B$14+'UocLuongOLS'!$B$13*E49</x:f>
        <x:v>2.2367899390568455</x:v>
      </x:c>
      <x:c r="L49" s="53" t="n">
        <x:f>F49-K49</x:f>
        <x:v>0.46321006094315464</x:v>
      </x:c>
      <x:c r="M49" s="53" t="n">
        <x:f>L49^2</x:f>
        <x:v>0.21456356055896103</x:v>
      </x:c>
      <x:c r="N49" s="53" t="n">
        <x:f>H49^2</x:f>
        <x:v>0.38498604997209934</x:v>
      </x:c>
    </x:row>
    <x:row r="50">
      <x:c r="A50" s="15" t="n">
        <x:v>49</x:v>
      </x:c>
      <x:c r="B50" s="15" t="str">
        <x:v>HE198314</x:v>
      </x:c>
      <x:c r="C50" s="15" t="str">
        <x:v>Thạch Hòa</x:v>
      </x:c>
      <x:c r="D50" s="15" t="str">
        <x:v>Phòng trọ cơ bản</x:v>
      </x:c>
      <x:c r="E50" s="47" t="n">
        <x:v>3.5</x:v>
      </x:c>
      <x:c r="F50" s="47" t="n">
        <x:v>2.1</x:v>
      </x:c>
      <x:c r="G50" s="53" t="n">
        <x:f>E50-'UocLuongOLS'!$B$6</x:f>
        <x:v>-0.7968503937007876</x:v>
      </x:c>
      <x:c r="H50" s="53" t="n">
        <x:f>F50-'UocLuongOLS'!$B$7</x:f>
        <x:v>0.02047244094488132</x:v>
      </x:c>
      <x:c r="I50" s="53" t="n">
        <x:f>G50*H50</x:f>
        <x:v>-0.016313472626944804</x:v>
      </x:c>
      <x:c r="J50" s="53" t="n">
        <x:f>G50^2</x:f>
        <x:v>0.6349705499411001</x:v>
      </x:c>
      <x:c r="K50" s="53" t="n">
        <x:f>'UocLuongOLS'!$B$14+'UocLuongOLS'!$B$13*E50</x:f>
        <x:v>2.219254976580797</x:v>
      </x:c>
      <x:c r="L50" s="53" t="n">
        <x:f>F50-K50</x:f>
        <x:v>-0.11925497658079687</x:v>
      </x:c>
      <x:c r="M50" s="53" t="n">
        <x:f>L50^2</x:f>
        <x:v>0.01422174943928641</x:v>
      </x:c>
      <x:c r="N50" s="53" t="n">
        <x:f>H50^2</x:f>
        <x:v>0.00041912083824165316</x:v>
      </x:c>
    </x:row>
    <x:row r="51">
      <x:c r="A51" s="15" t="n">
        <x:v>50</x:v>
      </x:c>
      <x:c r="B51" s="15" t="str">
        <x:v>HA201145</x:v>
      </x:c>
      <x:c r="C51" s="15" t="str">
        <x:v>Tân Xã</x:v>
      </x:c>
      <x:c r="D51" s="15" t="str">
        <x:v>Phòng trọ cơ bản</x:v>
      </x:c>
      <x:c r="E51" s="47" t="n">
        <x:v>3.5</x:v>
      </x:c>
      <x:c r="F51" s="47" t="n">
        <x:v>2.2</x:v>
      </x:c>
      <x:c r="G51" s="53" t="n">
        <x:f>E51-'UocLuongOLS'!$B$6</x:f>
        <x:v>-0.7968503937007876</x:v>
      </x:c>
      <x:c r="H51" s="53" t="n">
        <x:f>F51-'UocLuongOLS'!$B$7</x:f>
        <x:v>0.12047244094488141</x:v>
      </x:c>
      <x:c r="I51" s="53" t="n">
        <x:f>G51*H51</x:f>
        <x:v>-0.09599851199702364</x:v>
      </x:c>
      <x:c r="J51" s="53" t="n">
        <x:f>G51^2</x:f>
        <x:v>0.6349705499411001</x:v>
      </x:c>
      <x:c r="K51" s="53" t="n">
        <x:f>'UocLuongOLS'!$B$14+'UocLuongOLS'!$B$13*E51</x:f>
        <x:v>2.219254976580797</x:v>
      </x:c>
      <x:c r="L51" s="53" t="n">
        <x:f>F51-K51</x:f>
        <x:v>-0.01925497658079678</x:v>
      </x:c>
      <x:c r="M51" s="53" t="n">
        <x:f>L51^2</x:f>
        <x:v>0.00037075412312703244</x:v>
      </x:c>
      <x:c r="N51" s="53" t="n">
        <x:f>H51^2</x:f>
        <x:v>0.014513609027217938</x:v>
      </x:c>
    </x:row>
    <x:row r="52">
      <x:c r="A52" s="15" t="n">
        <x:v>51</x:v>
      </x:c>
      <x:c r="B52" s="15" t="str">
        <x:v>HE196851</x:v>
      </x:c>
      <x:c r="C52" s="15" t="str">
        <x:v>Tân Xã</x:v>
      </x:c>
      <x:c r="D52" s="15" t="str">
        <x:v>Phòng trọ cơ bản</x:v>
      </x:c>
      <x:c r="E52" s="47" t="n">
        <x:v>3.5</x:v>
      </x:c>
      <x:c r="F52" s="47" t="n">
        <x:v>2.2</x:v>
      </x:c>
      <x:c r="G52" s="53" t="n">
        <x:f>E52-'UocLuongOLS'!$B$6</x:f>
        <x:v>-0.7968503937007876</x:v>
      </x:c>
      <x:c r="H52" s="53" t="n">
        <x:f>F52-'UocLuongOLS'!$B$7</x:f>
        <x:v>0.12047244094488141</x:v>
      </x:c>
      <x:c r="I52" s="53" t="n">
        <x:f>G52*H52</x:f>
        <x:v>-0.09599851199702364</x:v>
      </x:c>
      <x:c r="J52" s="53" t="n">
        <x:f>G52^2</x:f>
        <x:v>0.6349705499411001</x:v>
      </x:c>
      <x:c r="K52" s="53" t="n">
        <x:f>'UocLuongOLS'!$B$14+'UocLuongOLS'!$B$13*E52</x:f>
        <x:v>2.219254976580797</x:v>
      </x:c>
      <x:c r="L52" s="53" t="n">
        <x:f>F52-K52</x:f>
        <x:v>-0.01925497658079678</x:v>
      </x:c>
      <x:c r="M52" s="53" t="n">
        <x:f>L52^2</x:f>
        <x:v>0.00037075412312703244</x:v>
      </x:c>
      <x:c r="N52" s="53" t="n">
        <x:f>H52^2</x:f>
        <x:v>0.014513609027217938</x:v>
      </x:c>
    </x:row>
    <x:row r="53">
      <x:c r="A53" s="15" t="n">
        <x:v>52</x:v>
      </x:c>
      <x:c r="B53" s="15" t="str">
        <x:v>HE202594</x:v>
      </x:c>
      <x:c r="C53" s="15" t="str">
        <x:v>Tân Xã</x:v>
      </x:c>
      <x:c r="D53" s="15" t="str">
        <x:v>Phòng trọ cơ bản</x:v>
      </x:c>
      <x:c r="E53" s="47" t="n">
        <x:v>3.5</x:v>
      </x:c>
      <x:c r="F53" s="47" t="n">
        <x:v>2.7</x:v>
      </x:c>
      <x:c r="G53" s="53" t="n">
        <x:f>E53-'UocLuongOLS'!$B$6</x:f>
        <x:v>-0.7968503937007876</x:v>
      </x:c>
      <x:c r="H53" s="53" t="n">
        <x:f>F53-'UocLuongOLS'!$B$7</x:f>
        <x:v>0.6204724409448814</x:v>
      </x:c>
      <x:c r="I53" s="53" t="n">
        <x:f>G53*H53</x:f>
        <x:v>-0.49442370884741743</x:v>
      </x:c>
      <x:c r="J53" s="53" t="n">
        <x:f>G53^2</x:f>
        <x:v>0.6349705499411001</x:v>
      </x:c>
      <x:c r="K53" s="53" t="n">
        <x:f>'UocLuongOLS'!$B$14+'UocLuongOLS'!$B$13*E53</x:f>
        <x:v>2.219254976580797</x:v>
      </x:c>
      <x:c r="L53" s="53" t="n">
        <x:f>F53-K53</x:f>
        <x:v>0.4807450234192032</x:v>
      </x:c>
      <x:c r="M53" s="53" t="n">
        <x:f>L53^2</x:f>
        <x:v>0.23111577754233026</x:v>
      </x:c>
      <x:c r="N53" s="53" t="n">
        <x:f>H53^2</x:f>
        <x:v>0.38498604997209934</x:v>
      </x:c>
    </x:row>
    <x:row r="54">
      <x:c r="A54" s="15" t="n">
        <x:v>53</x:v>
      </x:c>
      <x:c r="B54" s="15" t="str">
        <x:v>HE219614</x:v>
      </x:c>
      <x:c r="C54" s="15" t="str">
        <x:v>Tân Xã</x:v>
      </x:c>
      <x:c r="D54" s="15" t="str">
        <x:v>Phòng trọ cơ bản</x:v>
      </x:c>
      <x:c r="E54" s="47" t="n">
        <x:v>3.5</x:v>
      </x:c>
      <x:c r="F54" s="47" t="n">
        <x:v>2.7</x:v>
      </x:c>
      <x:c r="G54" s="53" t="n">
        <x:f>E54-'UocLuongOLS'!$B$6</x:f>
        <x:v>-0.7968503937007876</x:v>
      </x:c>
      <x:c r="H54" s="53" t="n">
        <x:f>F54-'UocLuongOLS'!$B$7</x:f>
        <x:v>0.6204724409448814</x:v>
      </x:c>
      <x:c r="I54" s="53" t="n">
        <x:f>G54*H54</x:f>
        <x:v>-0.49442370884741743</x:v>
      </x:c>
      <x:c r="J54" s="53" t="n">
        <x:f>G54^2</x:f>
        <x:v>0.6349705499411001</x:v>
      </x:c>
      <x:c r="K54" s="53" t="n">
        <x:f>'UocLuongOLS'!$B$14+'UocLuongOLS'!$B$13*E54</x:f>
        <x:v>2.219254976580797</x:v>
      </x:c>
      <x:c r="L54" s="53" t="n">
        <x:f>F54-K54</x:f>
        <x:v>0.4807450234192032</x:v>
      </x:c>
      <x:c r="M54" s="53" t="n">
        <x:f>L54^2</x:f>
        <x:v>0.23111577754233026</x:v>
      </x:c>
      <x:c r="N54" s="53" t="n">
        <x:f>H54^2</x:f>
        <x:v>0.38498604997209934</x:v>
      </x:c>
    </x:row>
    <x:row r="55">
      <x:c r="A55" s="15" t="n">
        <x:v>54</x:v>
      </x:c>
      <x:c r="B55" s="15" t="str">
        <x:v>HS219529</x:v>
      </x:c>
      <x:c r="C55" s="15" t="str">
        <x:v>Thạch Hòa</x:v>
      </x:c>
      <x:c r="D55" s="15" t="str">
        <x:v>Phòng trọ cơ bản</x:v>
      </x:c>
      <x:c r="E55" s="47" t="n">
        <x:v>3.6</x:v>
      </x:c>
      <x:c r="F55" s="47" t="n">
        <x:v>2</x:v>
      </x:c>
      <x:c r="G55" s="53" t="n">
        <x:f>E55-'UocLuongOLS'!$B$6</x:f>
        <x:v>-0.6968503937007875</x:v>
      </x:c>
      <x:c r="H55" s="53" t="n">
        <x:f>F55-'UocLuongOLS'!$B$7</x:f>
        <x:v>-0.07952755905511877</x:v>
      </x:c>
      <x:c r="I55" s="53" t="n">
        <x:f>G55*H55</x:f>
        <x:v>0.055418810837622144</x:v>
      </x:c>
      <x:c r="J55" s="53" t="n">
        <x:f>G55^2</x:f>
        <x:v>0.4856004712009425</x:v>
      </x:c>
      <x:c r="K55" s="53" t="n">
        <x:f>'UocLuongOLS'!$B$14+'UocLuongOLS'!$B$13*E55</x:f>
        <x:v>2.2017200141047484</x:v>
      </x:c>
      <x:c r="L55" s="53" t="n">
        <x:f>F55-K55</x:f>
        <x:v>-0.20172001410474838</x:v>
      </x:c>
      <x:c r="M55" s="53" t="n">
        <x:f>L55^2</x:f>
        <x:v>0.04069096409041988</x:v>
      </x:c>
      <x:c r="N55" s="53" t="n">
        <x:f>H55^2</x:f>
        <x:v>0.006324632649265403</x:v>
      </x:c>
    </x:row>
    <x:row r="56">
      <x:c r="A56" s="15" t="n">
        <x:v>55</x:v>
      </x:c>
      <x:c r="B56" s="15" t="str">
        <x:v>HE193079</x:v>
      </x:c>
      <x:c r="C56" s="15" t="str">
        <x:v>Tân Xã</x:v>
      </x:c>
      <x:c r="D56" s="15" t="str">
        <x:v>Chung cư mini/Studio</x:v>
      </x:c>
      <x:c r="E56" s="47" t="n">
        <x:v>3.6</x:v>
      </x:c>
      <x:c r="F56" s="47" t="n">
        <x:v>3.1</x:v>
      </x:c>
      <x:c r="G56" s="53" t="n">
        <x:f>E56-'UocLuongOLS'!$B$6</x:f>
        <x:v>-0.6968503937007875</x:v>
      </x:c>
      <x:c r="H56" s="53" t="n">
        <x:f>F56-'UocLuongOLS'!$B$7</x:f>
        <x:v>1.0204724409448813</x:v>
      </x:c>
      <x:c r="I56" s="53" t="n">
        <x:f>G56*H56</x:f>
        <x:v>-0.7111166222332441</x:v>
      </x:c>
      <x:c r="J56" s="53" t="n">
        <x:f>G56^2</x:f>
        <x:v>0.4856004712009425</x:v>
      </x:c>
      <x:c r="K56" s="53" t="n">
        <x:f>'UocLuongOLS'!$B$14+'UocLuongOLS'!$B$13*E56</x:f>
        <x:v>2.2017200141047484</x:v>
      </x:c>
      <x:c r="L56" s="53" t="n">
        <x:f>F56-K56</x:f>
        <x:v>0.8982799858952517</x:v>
      </x:c>
      <x:c r="M56" s="53" t="n">
        <x:f>L56^2</x:f>
        <x:v>0.8069069330599736</x:v>
      </x:c>
      <x:c r="N56" s="53" t="n">
        <x:f>H56^2</x:f>
        <x:v>1.0413640027280042</x:v>
      </x:c>
    </x:row>
    <x:row r="57">
      <x:c r="A57" s="15" t="n">
        <x:v>56</x:v>
      </x:c>
      <x:c r="B57" s="15" t="str">
        <x:v>HS196431</x:v>
      </x:c>
      <x:c r="C57" s="15" t="str">
        <x:v>Thạch Hòa</x:v>
      </x:c>
      <x:c r="D57" s="15" t="str">
        <x:v>Chung cư mini</x:v>
      </x:c>
      <x:c r="E57" s="47" t="n">
        <x:v>3.6</x:v>
      </x:c>
      <x:c r="F57" s="47" t="n">
        <x:v>2.9</x:v>
      </x:c>
      <x:c r="G57" s="53" t="n">
        <x:f>E57-'UocLuongOLS'!$B$6</x:f>
        <x:v>-0.6968503937007875</x:v>
      </x:c>
      <x:c r="H57" s="53" t="n">
        <x:f>F57-'UocLuongOLS'!$B$7</x:f>
        <x:v>0.8204724409448811</x:v>
      </x:c>
      <x:c r="I57" s="53" t="n">
        <x:f>G57*H57</x:f>
        <x:v>-0.5717465434930865</x:v>
      </x:c>
      <x:c r="J57" s="53" t="n">
        <x:f>G57^2</x:f>
        <x:v>0.4856004712009425</x:v>
      </x:c>
      <x:c r="K57" s="53" t="n">
        <x:f>'UocLuongOLS'!$B$14+'UocLuongOLS'!$B$13*E57</x:f>
        <x:v>2.2017200141047484</x:v>
      </x:c>
      <x:c r="L57" s="53" t="n">
        <x:f>F57-K57</x:f>
        <x:v>0.6982799858952515</x:v>
      </x:c>
      <x:c r="M57" s="53" t="n">
        <x:f>L57^2</x:f>
        <x:v>0.4875949387018727</x:v>
      </x:c>
      <x:c r="N57" s="53" t="n">
        <x:f>H57^2</x:f>
        <x:v>0.6731750263500514</x:v>
      </x:c>
    </x:row>
    <x:row r="58">
      <x:c r="A58" s="15" t="n">
        <x:v>57</x:v>
      </x:c>
      <x:c r="B58" s="15" t="str">
        <x:v>HC199549</x:v>
      </x:c>
      <x:c r="C58" s="15" t="str">
        <x:v>Tân Xã</x:v>
      </x:c>
      <x:c r="D58" s="15" t="str">
        <x:v>Phòng trọ cơ bản</x:v>
      </x:c>
      <x:c r="E58" s="47" t="n">
        <x:v>3.7</x:v>
      </x:c>
      <x:c r="F58" s="47" t="n">
        <x:v>2.1</x:v>
      </x:c>
      <x:c r="G58" s="53" t="n">
        <x:f>E58-'UocLuongOLS'!$B$6</x:f>
        <x:v>-0.5968503937007874</x:v>
      </x:c>
      <x:c r="H58" s="53" t="n">
        <x:f>F58-'UocLuongOLS'!$B$7</x:f>
        <x:v>0.02047244094488132</x:v>
      </x:c>
      <x:c r="I58" s="53" t="n">
        <x:f>G58*H58</x:f>
        <x:v>-0.012218984437968537</x:v>
      </x:c>
      <x:c r="J58" s="53" t="n">
        <x:f>G58^2</x:f>
        <x:v>0.3562303924607849</x:v>
      </x:c>
      <x:c r="K58" s="53" t="n">
        <x:f>'UocLuongOLS'!$B$14+'UocLuongOLS'!$B$13*E58</x:f>
        <x:v>2.1841850516287</x:v>
      </x:c>
      <x:c r="L58" s="53" t="n">
        <x:f>F58-K58</x:f>
        <x:v>-0.08418505162869971</x:v>
      </x:c>
      <x:c r="M58" s="53" t="n">
        <x:f>L58^2</x:f>
        <x:v>0.007087122917726837</x:v>
      </x:c>
      <x:c r="N58" s="53" t="n">
        <x:f>H58^2</x:f>
        <x:v>0.00041912083824165316</x:v>
      </x:c>
    </x:row>
    <x:row r="59">
      <x:c r="A59" s="15" t="n">
        <x:v>58</x:v>
      </x:c>
      <x:c r="B59" s="15" t="str">
        <x:v>HS191935</x:v>
      </x:c>
      <x:c r="C59" s="15" t="str">
        <x:v>Thạch Hòa</x:v>
      </x:c>
      <x:c r="D59" s="15" t="str">
        <x:v>Chung cư mini</x:v>
      </x:c>
      <x:c r="E59" s="47" t="n">
        <x:v>3.7</x:v>
      </x:c>
      <x:c r="F59" s="47" t="n">
        <x:v>2.7</x:v>
      </x:c>
      <x:c r="G59" s="53" t="n">
        <x:f>E59-'UocLuongOLS'!$B$6</x:f>
        <x:v>-0.5968503937007874</x:v>
      </x:c>
      <x:c r="H59" s="53" t="n">
        <x:f>F59-'UocLuongOLS'!$B$7</x:f>
        <x:v>0.6204724409448814</x:v>
      </x:c>
      <x:c r="I59" s="53" t="n">
        <x:f>G59*H59</x:f>
        <x:v>-0.37032922065844104</x:v>
      </x:c>
      <x:c r="J59" s="53" t="n">
        <x:f>G59^2</x:f>
        <x:v>0.3562303924607849</x:v>
      </x:c>
      <x:c r="K59" s="53" t="n">
        <x:f>'UocLuongOLS'!$B$14+'UocLuongOLS'!$B$13*E59</x:f>
        <x:v>2.1841850516287</x:v>
      </x:c>
      <x:c r="L59" s="53" t="n">
        <x:f>F59-K59</x:f>
        <x:v>0.5158149483713004</x:v>
      </x:c>
      <x:c r="M59" s="53" t="n">
        <x:f>L59^2</x:f>
        <x:v>0.26606506096328725</x:v>
      </x:c>
      <x:c r="N59" s="53" t="n">
        <x:f>H59^2</x:f>
        <x:v>0.38498604997209934</x:v>
      </x:c>
    </x:row>
    <x:row r="60">
      <x:c r="A60" s="15" t="n">
        <x:v>59</x:v>
      </x:c>
      <x:c r="B60" s="15" t="str">
        <x:v>HC187768</x:v>
      </x:c>
      <x:c r="C60" s="15" t="str">
        <x:v>Tân Xã</x:v>
      </x:c>
      <x:c r="D60" s="15" t="str">
        <x:v>Phòng trọ cơ bản</x:v>
      </x:c>
      <x:c r="E60" s="47" t="n">
        <x:v>3.7</x:v>
      </x:c>
      <x:c r="F60" s="47" t="n">
        <x:v>2</x:v>
      </x:c>
      <x:c r="G60" s="53" t="n">
        <x:f>E60-'UocLuongOLS'!$B$6</x:f>
        <x:v>-0.5968503937007874</x:v>
      </x:c>
      <x:c r="H60" s="53" t="n">
        <x:f>F60-'UocLuongOLS'!$B$7</x:f>
        <x:v>-0.07952755905511877</x:v>
      </x:c>
      <x:c r="I60" s="53" t="n">
        <x:f>G60*H60</x:f>
        <x:v>0.04746605493211026</x:v>
      </x:c>
      <x:c r="J60" s="53" t="n">
        <x:f>G60^2</x:f>
        <x:v>0.3562303924607849</x:v>
      </x:c>
      <x:c r="K60" s="53" t="n">
        <x:f>'UocLuongOLS'!$B$14+'UocLuongOLS'!$B$13*E60</x:f>
        <x:v>2.1841850516287</x:v>
      </x:c>
      <x:c r="L60" s="53" t="n">
        <x:f>F60-K60</x:f>
        <x:v>-0.1841850516286998</x:v>
      </x:c>
      <x:c r="M60" s="53" t="n">
        <x:f>L60^2</x:f>
        <x:v>0.03392413324346681</x:v>
      </x:c>
      <x:c r="N60" s="53" t="n">
        <x:f>H60^2</x:f>
        <x:v>0.006324632649265403</x:v>
      </x:c>
    </x:row>
    <x:row r="61">
      <x:c r="A61" s="15" t="n">
        <x:v>60</x:v>
      </x:c>
      <x:c r="B61" s="15" t="str">
        <x:v>HC195330</x:v>
      </x:c>
      <x:c r="C61" s="15" t="str">
        <x:v>Tân Xã</x:v>
      </x:c>
      <x:c r="D61" s="15" t="str">
        <x:v>Phòng trọ cơ bản</x:v>
      </x:c>
      <x:c r="E61" s="47" t="n">
        <x:v>3.7</x:v>
      </x:c>
      <x:c r="F61" s="47" t="n">
        <x:v>2.1</x:v>
      </x:c>
      <x:c r="G61" s="53" t="n">
        <x:f>E61-'UocLuongOLS'!$B$6</x:f>
        <x:v>-0.5968503937007874</x:v>
      </x:c>
      <x:c r="H61" s="53" t="n">
        <x:f>F61-'UocLuongOLS'!$B$7</x:f>
        <x:v>0.02047244094488132</x:v>
      </x:c>
      <x:c r="I61" s="53" t="n">
        <x:f>G61*H61</x:f>
        <x:v>-0.012218984437968537</x:v>
      </x:c>
      <x:c r="J61" s="53" t="n">
        <x:f>G61^2</x:f>
        <x:v>0.3562303924607849</x:v>
      </x:c>
      <x:c r="K61" s="53" t="n">
        <x:f>'UocLuongOLS'!$B$14+'UocLuongOLS'!$B$13*E61</x:f>
        <x:v>2.1841850516287</x:v>
      </x:c>
      <x:c r="L61" s="53" t="n">
        <x:f>F61-K61</x:f>
        <x:v>-0.08418505162869971</x:v>
      </x:c>
      <x:c r="M61" s="53" t="n">
        <x:f>L61^2</x:f>
        <x:v>0.007087122917726837</x:v>
      </x:c>
      <x:c r="N61" s="53" t="n">
        <x:f>H61^2</x:f>
        <x:v>0.00041912083824165316</x:v>
      </x:c>
    </x:row>
    <x:row r="62">
      <x:c r="A62" s="15" t="n">
        <x:v>61</x:v>
      </x:c>
      <x:c r="B62" s="15" t="str">
        <x:v>HC200369</x:v>
      </x:c>
      <x:c r="C62" s="15" t="str">
        <x:v>Tân Xã</x:v>
      </x:c>
      <x:c r="D62" s="15" t="str">
        <x:v>Phòng trọ cơ bản</x:v>
      </x:c>
      <x:c r="E62" s="47" t="n">
        <x:v>3.7</x:v>
      </x:c>
      <x:c r="F62" s="47" t="n">
        <x:v>2</x:v>
      </x:c>
      <x:c r="G62" s="53" t="n">
        <x:f>E62-'UocLuongOLS'!$B$6</x:f>
        <x:v>-0.5968503937007874</x:v>
      </x:c>
      <x:c r="H62" s="53" t="n">
        <x:f>F62-'UocLuongOLS'!$B$7</x:f>
        <x:v>-0.07952755905511877</x:v>
      </x:c>
      <x:c r="I62" s="53" t="n">
        <x:f>G62*H62</x:f>
        <x:v>0.04746605493211026</x:v>
      </x:c>
      <x:c r="J62" s="53" t="n">
        <x:f>G62^2</x:f>
        <x:v>0.3562303924607849</x:v>
      </x:c>
      <x:c r="K62" s="53" t="n">
        <x:f>'UocLuongOLS'!$B$14+'UocLuongOLS'!$B$13*E62</x:f>
        <x:v>2.1841850516287</x:v>
      </x:c>
      <x:c r="L62" s="53" t="n">
        <x:f>F62-K62</x:f>
        <x:v>-0.1841850516286998</x:v>
      </x:c>
      <x:c r="M62" s="53" t="n">
        <x:f>L62^2</x:f>
        <x:v>0.03392413324346681</x:v>
      </x:c>
      <x:c r="N62" s="53" t="n">
        <x:f>H62^2</x:f>
        <x:v>0.006324632649265403</x:v>
      </x:c>
    </x:row>
    <x:row r="63">
      <x:c r="A63" s="15" t="n">
        <x:v>62</x:v>
      </x:c>
      <x:c r="B63" s="15" t="str">
        <x:v>HA186500</x:v>
      </x:c>
      <x:c r="C63" s="15" t="str">
        <x:v>Thạch Hòa</x:v>
      </x:c>
      <x:c r="D63" s="15" t="str">
        <x:v>Chung cư mini</x:v>
      </x:c>
      <x:c r="E63" s="47" t="n">
        <x:v>3.8</x:v>
      </x:c>
      <x:c r="F63" s="47" t="n">
        <x:v>2.9</x:v>
      </x:c>
      <x:c r="G63" s="53" t="n">
        <x:f>E63-'UocLuongOLS'!$B$6</x:f>
        <x:v>-0.49685039370078776</x:v>
      </x:c>
      <x:c r="H63" s="53" t="n">
        <x:f>F63-'UocLuongOLS'!$B$7</x:f>
        <x:v>0.8204724409448811</x:v>
      </x:c>
      <x:c r="I63" s="53" t="n">
        <x:f>G63*H63</x:f>
        <x:v>-0.4076520553041105</x:v>
      </x:c>
      <x:c r="J63" s="53" t="n">
        <x:f>G63^2</x:f>
        <x:v>0.2468603137206278</x:v>
      </x:c>
      <x:c r="K63" s="53" t="n">
        <x:f>'UocLuongOLS'!$B$14+'UocLuongOLS'!$B$13*E63</x:f>
        <x:v>2.1666500891526517</x:v>
      </x:c>
      <x:c r="L63" s="53" t="n">
        <x:f>F63-K63</x:f>
        <x:v>0.7333499108473482</x:v>
      </x:c>
      <x:c r="M63" s="53" t="n">
        <x:f>L63^2</x:f>
        <x:v>0.5378020917398136</x:v>
      </x:c>
      <x:c r="N63" s="53" t="n">
        <x:f>H63^2</x:f>
        <x:v>0.6731750263500514</x:v>
      </x:c>
    </x:row>
    <x:row r="64">
      <x:c r="A64" s="15" t="n">
        <x:v>63</x:v>
      </x:c>
      <x:c r="B64" s="15" t="str">
        <x:v>HA204912</x:v>
      </x:c>
      <x:c r="C64" s="15" t="str">
        <x:v>Tân Xã</x:v>
      </x:c>
      <x:c r="D64" s="15" t="str">
        <x:v>Phòng trọ cơ bản</x:v>
      </x:c>
      <x:c r="E64" s="47" t="n">
        <x:v>3.8</x:v>
      </x:c>
      <x:c r="F64" s="47" t="n">
        <x:v>1.9</x:v>
      </x:c>
      <x:c r="G64" s="53" t="n">
        <x:f>E64-'UocLuongOLS'!$B$6</x:f>
        <x:v>-0.49685039370078776</x:v>
      </x:c>
      <x:c r="H64" s="53" t="n">
        <x:f>F64-'UocLuongOLS'!$B$7</x:f>
        <x:v>-0.17952755905511886</x:v>
      </x:c>
      <x:c r="I64" s="53" t="n">
        <x:f>G64*H64</x:f>
        <x:v>0.08919833839667723</x:v>
      </x:c>
      <x:c r="J64" s="53" t="n">
        <x:f>G64^2</x:f>
        <x:v>0.2468603137206278</x:v>
      </x:c>
      <x:c r="K64" s="53" t="n">
        <x:f>'UocLuongOLS'!$B$14+'UocLuongOLS'!$B$13*E64</x:f>
        <x:v>2.1666500891526517</x:v>
      </x:c>
      <x:c r="L64" s="53" t="n">
        <x:f>F64-K64</x:f>
        <x:v>-0.26665008915265176</x:v>
      </x:c>
      <x:c r="M64" s="53" t="n">
        <x:f>L64^2</x:f>
        <x:v>0.07110227004511713</x:v>
      </x:c>
      <x:c r="N64" s="53" t="n">
        <x:f>H64^2</x:f>
        <x:v>0.03223014446028919</x:v>
      </x:c>
    </x:row>
    <x:row r="65">
      <x:c r="A65" s="15" t="n">
        <x:v>64</x:v>
      </x:c>
      <x:c r="B65" s="15" t="str">
        <x:v>HA203095</x:v>
      </x:c>
      <x:c r="C65" s="15" t="str">
        <x:v>Thạch Hòa</x:v>
      </x:c>
      <x:c r="D65" s="15" t="str">
        <x:v>Chung cư mini</x:v>
      </x:c>
      <x:c r="E65" s="47" t="n">
        <x:v>3.8</x:v>
      </x:c>
      <x:c r="F65" s="47" t="n">
        <x:v>2.9</x:v>
      </x:c>
      <x:c r="G65" s="53" t="n">
        <x:f>E65-'UocLuongOLS'!$B$6</x:f>
        <x:v>-0.49685039370078776</x:v>
      </x:c>
      <x:c r="H65" s="53" t="n">
        <x:f>F65-'UocLuongOLS'!$B$7</x:f>
        <x:v>0.8204724409448811</x:v>
      </x:c>
      <x:c r="I65" s="53" t="n">
        <x:f>G65*H65</x:f>
        <x:v>-0.4076520553041105</x:v>
      </x:c>
      <x:c r="J65" s="53" t="n">
        <x:f>G65^2</x:f>
        <x:v>0.2468603137206278</x:v>
      </x:c>
      <x:c r="K65" s="53" t="n">
        <x:f>'UocLuongOLS'!$B$14+'UocLuongOLS'!$B$13*E65</x:f>
        <x:v>2.1666500891526517</x:v>
      </x:c>
      <x:c r="L65" s="53" t="n">
        <x:f>F65-K65</x:f>
        <x:v>0.7333499108473482</x:v>
      </x:c>
      <x:c r="M65" s="53" t="n">
        <x:f>L65^2</x:f>
        <x:v>0.5378020917398136</x:v>
      </x:c>
      <x:c r="N65" s="53" t="n">
        <x:f>H65^2</x:f>
        <x:v>0.6731750263500514</x:v>
      </x:c>
    </x:row>
    <x:row r="66">
      <x:c r="A66" s="15" t="n">
        <x:v>65</x:v>
      </x:c>
      <x:c r="B66" s="15" t="str">
        <x:v>HA208819</x:v>
      </x:c>
      <x:c r="C66" s="15" t="str">
        <x:v>Tân Xã</x:v>
      </x:c>
      <x:c r="D66" s="15" t="str">
        <x:v>Phòng trọ cơ bản</x:v>
      </x:c>
      <x:c r="E66" s="47" t="n">
        <x:v>3.8</x:v>
      </x:c>
      <x:c r="F66" s="47" t="n">
        <x:v>1.9</x:v>
      </x:c>
      <x:c r="G66" s="53" t="n">
        <x:f>E66-'UocLuongOLS'!$B$6</x:f>
        <x:v>-0.49685039370078776</x:v>
      </x:c>
      <x:c r="H66" s="53" t="n">
        <x:f>F66-'UocLuongOLS'!$B$7</x:f>
        <x:v>-0.17952755905511886</x:v>
      </x:c>
      <x:c r="I66" s="53" t="n">
        <x:f>G66*H66</x:f>
        <x:v>0.08919833839667723</x:v>
      </x:c>
      <x:c r="J66" s="53" t="n">
        <x:f>G66^2</x:f>
        <x:v>0.2468603137206278</x:v>
      </x:c>
      <x:c r="K66" s="53" t="n">
        <x:f>'UocLuongOLS'!$B$14+'UocLuongOLS'!$B$13*E66</x:f>
        <x:v>2.1666500891526517</x:v>
      </x:c>
      <x:c r="L66" s="53" t="n">
        <x:f>F66-K66</x:f>
        <x:v>-0.26665008915265176</x:v>
      </x:c>
      <x:c r="M66" s="53" t="n">
        <x:f>L66^2</x:f>
        <x:v>0.07110227004511713</x:v>
      </x:c>
      <x:c r="N66" s="53" t="n">
        <x:f>H66^2</x:f>
        <x:v>0.03223014446028919</x:v>
      </x:c>
    </x:row>
    <x:row r="67">
      <x:c r="A67" s="15" t="n">
        <x:v>66</x:v>
      </x:c>
      <x:c r="B67" s="15" t="str">
        <x:v>HS213623</x:v>
      </x:c>
      <x:c r="C67" s="15" t="str">
        <x:v>Tân Xã</x:v>
      </x:c>
      <x:c r="D67" s="15" t="str">
        <x:v>Phòng trọ cơ bản</x:v>
      </x:c>
      <x:c r="E67" s="47" t="n">
        <x:v>3.9</x:v>
      </x:c>
      <x:c r="F67" s="47" t="n">
        <x:v>2</x:v>
      </x:c>
      <x:c r="G67" s="53" t="n">
        <x:f>E67-'UocLuongOLS'!$B$6</x:f>
        <x:v>-0.3968503937007877</x:v>
      </x:c>
      <x:c r="H67" s="53" t="n">
        <x:f>F67-'UocLuongOLS'!$B$7</x:f>
        <x:v>-0.07952755905511877</x:v>
      </x:c>
      <x:c r="I67" s="53" t="n">
        <x:f>G67*H67</x:f>
        <x:v>0.031560543121086526</x:v>
      </x:c>
      <x:c r="J67" s="53" t="n">
        <x:f>G67^2</x:f>
        <x:v>0.15749023498047018</x:v>
      </x:c>
      <x:c r="K67" s="53" t="n">
        <x:f>'UocLuongOLS'!$B$14+'UocLuongOLS'!$B$13*E67</x:f>
        <x:v>2.149115126676603</x:v>
      </x:c>
      <x:c r="L67" s="53" t="n">
        <x:f>F67-K67</x:f>
        <x:v>-0.1491151266766031</x:v>
      </x:c>
      <x:c r="M67" s="53" t="n">
        <x:f>L67^2</x:f>
        <x:v>0.02223532100377939</x:v>
      </x:c>
      <x:c r="N67" s="53" t="n">
        <x:f>H67^2</x:f>
        <x:v>0.006324632649265403</x:v>
      </x:c>
    </x:row>
    <x:row r="68">
      <x:c r="A68" s="15" t="n">
        <x:v>67</x:v>
      </x:c>
      <x:c r="B68" s="15" t="str">
        <x:v>HA217425</x:v>
      </x:c>
      <x:c r="C68" s="15" t="str">
        <x:v>Thạch Hòa</x:v>
      </x:c>
      <x:c r="D68" s="15" t="str">
        <x:v>Chung cư mini</x:v>
      </x:c>
      <x:c r="E68" s="47" t="n">
        <x:v>3.9</x:v>
      </x:c>
      <x:c r="F68" s="47" t="n">
        <x:v>2.6</x:v>
      </x:c>
      <x:c r="G68" s="53" t="n">
        <x:f>E68-'UocLuongOLS'!$B$6</x:f>
        <x:v>-0.3968503937007877</x:v>
      </x:c>
      <x:c r="H68" s="53" t="n">
        <x:f>F68-'UocLuongOLS'!$B$7</x:f>
        <x:v>0.5204724409448813</x:v>
      </x:c>
      <x:c r="I68" s="53" t="n">
        <x:f>G68*H68</x:f>
        <x:v>-0.20654969309938612</x:v>
      </x:c>
      <x:c r="J68" s="53" t="n">
        <x:f>G68^2</x:f>
        <x:v>0.15749023498047018</x:v>
      </x:c>
      <x:c r="K68" s="53" t="n">
        <x:f>'UocLuongOLS'!$B$14+'UocLuongOLS'!$B$13*E68</x:f>
        <x:v>2.149115126676603</x:v>
      </x:c>
      <x:c r="L68" s="53" t="n">
        <x:f>F68-K68</x:f>
        <x:v>0.450884873323397</x:v>
      </x:c>
      <x:c r="M68" s="53" t="n">
        <x:f>L68^2</x:f>
        <x:v>0.20329716899185576</x:v>
      </x:c>
      <x:c r="N68" s="53" t="n">
        <x:f>H68^2</x:f>
        <x:v>0.27089156178312296</x:v>
      </x:c>
    </x:row>
    <x:row r="69">
      <x:c r="A69" s="15" t="n">
        <x:v>68</x:v>
      </x:c>
      <x:c r="B69" s="15" t="str">
        <x:v>HS204692</x:v>
      </x:c>
      <x:c r="C69" s="15" t="str">
        <x:v>Thạch Hòa</x:v>
      </x:c>
      <x:c r="D69" s="15" t="str">
        <x:v>Phòng trọ cơ bản</x:v>
      </x:c>
      <x:c r="E69" s="47" t="n">
        <x:v>3.9</x:v>
      </x:c>
      <x:c r="F69" s="47" t="n">
        <x:v>1.9</x:v>
      </x:c>
      <x:c r="G69" s="53" t="n">
        <x:f>E69-'UocLuongOLS'!$B$6</x:f>
        <x:v>-0.3968503937007877</x:v>
      </x:c>
      <x:c r="H69" s="53" t="n">
        <x:f>F69-'UocLuongOLS'!$B$7</x:f>
        <x:v>-0.17952755905511886</x:v>
      </x:c>
      <x:c r="I69" s="53" t="n">
        <x:f>G69*H69</x:f>
        <x:v>0.07124558249116533</x:v>
      </x:c>
      <x:c r="J69" s="53" t="n">
        <x:f>G69^2</x:f>
        <x:v>0.15749023498047018</x:v>
      </x:c>
      <x:c r="K69" s="53" t="n">
        <x:f>'UocLuongOLS'!$B$14+'UocLuongOLS'!$B$13*E69</x:f>
        <x:v>2.149115126676603</x:v>
      </x:c>
      <x:c r="L69" s="53" t="n">
        <x:f>F69-K69</x:f>
        <x:v>-0.24911512667660318</x:v>
      </x:c>
      <x:c r="M69" s="53" t="n">
        <x:f>L69^2</x:f>
        <x:v>0.062058346339100054</x:v>
      </x:c>
      <x:c r="N69" s="53" t="n">
        <x:f>H69^2</x:f>
        <x:v>0.03223014446028919</x:v>
      </x:c>
    </x:row>
    <x:row r="70">
      <x:c r="A70" s="15" t="n">
        <x:v>69</x:v>
      </x:c>
      <x:c r="B70" s="15" t="str">
        <x:v>HE187105</x:v>
      </x:c>
      <x:c r="C70" s="15" t="str">
        <x:v>Thạch Hòa</x:v>
      </x:c>
      <x:c r="D70" s="15" t="str">
        <x:v>Chung cư mini</x:v>
      </x:c>
      <x:c r="E70" s="47" t="n">
        <x:v>4</x:v>
      </x:c>
      <x:c r="F70" s="47" t="n">
        <x:v>2.6</x:v>
      </x:c>
      <x:c r="G70" s="53" t="n">
        <x:f>E70-'UocLuongOLS'!$B$6</x:f>
        <x:v>-0.2968503937007876</x:v>
      </x:c>
      <x:c r="H70" s="53" t="n">
        <x:f>F70-'UocLuongOLS'!$B$7</x:f>
        <x:v>0.5204724409448813</x:v>
      </x:c>
      <x:c r="I70" s="53" t="n">
        <x:f>G70*H70</x:f>
        <x:v>-0.15450244900489793</x:v>
      </x:c>
      <x:c r="J70" s="53" t="n">
        <x:f>G70^2</x:f>
        <x:v>0.0881201562403126</x:v>
      </x:c>
      <x:c r="K70" s="53" t="n">
        <x:f>'UocLuongOLS'!$B$14+'UocLuongOLS'!$B$13*E70</x:f>
        <x:v>2.1315801642005545</x:v>
      </x:c>
      <x:c r="L70" s="53" t="n">
        <x:f>F70-K70</x:f>
        <x:v>0.46841983579944557</x:v>
      </x:c>
      <x:c r="M70" s="53" t="n">
        <x:f>L70^2</x:f>
        <x:v>0.21941714257037956</x:v>
      </x:c>
      <x:c r="N70" s="53" t="n">
        <x:f>H70^2</x:f>
        <x:v>0.27089156178312296</x:v>
      </x:c>
    </x:row>
    <x:row r="71">
      <x:c r="A71" s="15" t="n">
        <x:v>70</x:v>
      </x:c>
      <x:c r="B71" s="15" t="str">
        <x:v>HE211597</x:v>
      </x:c>
      <x:c r="C71" s="15" t="str">
        <x:v>Thạch Hòa</x:v>
      </x:c>
      <x:c r="D71" s="15" t="str">
        <x:v>Phòng trọ cơ bản</x:v>
      </x:c>
      <x:c r="E71" s="47" t="n">
        <x:v>4.1</x:v>
      </x:c>
      <x:c r="F71" s="47" t="n">
        <x:v>1.9</x:v>
      </x:c>
      <x:c r="G71" s="53" t="n">
        <x:f>E71-'UocLuongOLS'!$B$6</x:f>
        <x:v>-0.19685039370078794</x:v>
      </x:c>
      <x:c r="H71" s="53" t="n">
        <x:f>F71-'UocLuongOLS'!$B$7</x:f>
        <x:v>-0.17952755905511886</x:v>
      </x:c>
      <x:c r="I71" s="53" t="n">
        <x:f>G71*H71</x:f>
        <x:v>0.035340070680141604</x:v>
      </x:c>
      <x:c r="J71" s="53" t="n">
        <x:f>G71^2</x:f>
        <x:v>0.03875007750015521</x:v>
      </x:c>
      <x:c r="K71" s="53" t="n">
        <x:f>'UocLuongOLS'!$B$14+'UocLuongOLS'!$B$13*E71</x:f>
        <x:v>2.114045201724506</x:v>
      </x:c>
      <x:c r="L71" s="53" t="n">
        <x:f>F71-K71</x:f>
        <x:v>-0.21404520172450603</x:v>
      </x:c>
      <x:c r="M71" s="53" t="n">
        <x:f>L71^2</x:f>
        <x:v>0.04581534838128448</x:v>
      </x:c>
      <x:c r="N71" s="53" t="n">
        <x:f>H71^2</x:f>
        <x:v>0.03223014446028919</x:v>
      </x:c>
    </x:row>
    <x:row r="72">
      <x:c r="A72" s="15" t="n">
        <x:v>71</x:v>
      </x:c>
      <x:c r="B72" s="15" t="str">
        <x:v>HS208112</x:v>
      </x:c>
      <x:c r="C72" s="15" t="str">
        <x:v>Tân Xã</x:v>
      </x:c>
      <x:c r="D72" s="15" t="str">
        <x:v>Phòng trọ cơ bản</x:v>
      </x:c>
      <x:c r="E72" s="47" t="n">
        <x:v>4.1</x:v>
      </x:c>
      <x:c r="F72" s="47" t="n">
        <x:v>2</x:v>
      </x:c>
      <x:c r="G72" s="53" t="n">
        <x:f>E72-'UocLuongOLS'!$B$6</x:f>
        <x:v>-0.19685039370078794</x:v>
      </x:c>
      <x:c r="H72" s="53" t="n">
        <x:f>F72-'UocLuongOLS'!$B$7</x:f>
        <x:v>-0.07952755905511877</x:v>
      </x:c>
      <x:c r="I72" s="53" t="n">
        <x:f>G72*H72</x:f>
        <x:v>0.01565503131006279</x:v>
      </x:c>
      <x:c r="J72" s="53" t="n">
        <x:f>G72^2</x:f>
        <x:v>0.03875007750015521</x:v>
      </x:c>
      <x:c r="K72" s="53" t="n">
        <x:f>'UocLuongOLS'!$B$14+'UocLuongOLS'!$B$13*E72</x:f>
        <x:v>2.114045201724506</x:v>
      </x:c>
      <x:c r="L72" s="53" t="n">
        <x:f>F72-K72</x:f>
        <x:v>-0.11404520172450594</x:v>
      </x:c>
      <x:c r="M72" s="53" t="n">
        <x:f>L72^2</x:f>
        <x:v>0.013006308036383253</x:v>
      </x:c>
      <x:c r="N72" s="53" t="n">
        <x:f>H72^2</x:f>
        <x:v>0.006324632649265403</x:v>
      </x:c>
    </x:row>
    <x:row r="73">
      <x:c r="A73" s="15" t="n">
        <x:v>72</x:v>
      </x:c>
      <x:c r="B73" s="15" t="str">
        <x:v>HS192422</x:v>
      </x:c>
      <x:c r="C73" s="15" t="str">
        <x:v>Tân Xã</x:v>
      </x:c>
      <x:c r="D73" s="15" t="str">
        <x:v>Phòng trọ cơ bản</x:v>
      </x:c>
      <x:c r="E73" s="47" t="n">
        <x:v>4.1</x:v>
      </x:c>
      <x:c r="F73" s="47" t="n">
        <x:v>2</x:v>
      </x:c>
      <x:c r="G73" s="53" t="n">
        <x:f>E73-'UocLuongOLS'!$B$6</x:f>
        <x:v>-0.19685039370078794</x:v>
      </x:c>
      <x:c r="H73" s="53" t="n">
        <x:f>F73-'UocLuongOLS'!$B$7</x:f>
        <x:v>-0.07952755905511877</x:v>
      </x:c>
      <x:c r="I73" s="53" t="n">
        <x:f>G73*H73</x:f>
        <x:v>0.01565503131006279</x:v>
      </x:c>
      <x:c r="J73" s="53" t="n">
        <x:f>G73^2</x:f>
        <x:v>0.03875007750015521</x:v>
      </x:c>
      <x:c r="K73" s="53" t="n">
        <x:f>'UocLuongOLS'!$B$14+'UocLuongOLS'!$B$13*E73</x:f>
        <x:v>2.114045201724506</x:v>
      </x:c>
      <x:c r="L73" s="53" t="n">
        <x:f>F73-K73</x:f>
        <x:v>-0.11404520172450594</x:v>
      </x:c>
      <x:c r="M73" s="53" t="n">
        <x:f>L73^2</x:f>
        <x:v>0.013006308036383253</x:v>
      </x:c>
      <x:c r="N73" s="53" t="n">
        <x:f>H73^2</x:f>
        <x:v>0.006324632649265403</x:v>
      </x:c>
    </x:row>
    <x:row r="74">
      <x:c r="A74" s="15" t="n">
        <x:v>73</x:v>
      </x:c>
      <x:c r="B74" s="15" t="str">
        <x:v>HE193565</x:v>
      </x:c>
      <x:c r="C74" s="15" t="str">
        <x:v>Thạch Hòa</x:v>
      </x:c>
      <x:c r="D74" s="15" t="str">
        <x:v>Phòng trọ cơ bản</x:v>
      </x:c>
      <x:c r="E74" s="47" t="n">
        <x:v>4.1</x:v>
      </x:c>
      <x:c r="F74" s="47" t="n">
        <x:v>1.9</x:v>
      </x:c>
      <x:c r="G74" s="53" t="n">
        <x:f>E74-'UocLuongOLS'!$B$6</x:f>
        <x:v>-0.19685039370078794</x:v>
      </x:c>
      <x:c r="H74" s="53" t="n">
        <x:f>F74-'UocLuongOLS'!$B$7</x:f>
        <x:v>-0.17952755905511886</x:v>
      </x:c>
      <x:c r="I74" s="53" t="n">
        <x:f>G74*H74</x:f>
        <x:v>0.035340070680141604</x:v>
      </x:c>
      <x:c r="J74" s="53" t="n">
        <x:f>G74^2</x:f>
        <x:v>0.03875007750015521</x:v>
      </x:c>
      <x:c r="K74" s="53" t="n">
        <x:f>'UocLuongOLS'!$B$14+'UocLuongOLS'!$B$13*E74</x:f>
        <x:v>2.114045201724506</x:v>
      </x:c>
      <x:c r="L74" s="53" t="n">
        <x:f>F74-K74</x:f>
        <x:v>-0.21404520172450603</x:v>
      </x:c>
      <x:c r="M74" s="53" t="n">
        <x:f>L74^2</x:f>
        <x:v>0.04581534838128448</x:v>
      </x:c>
      <x:c r="N74" s="53" t="n">
        <x:f>H74^2</x:f>
        <x:v>0.03223014446028919</x:v>
      </x:c>
    </x:row>
    <x:row r="75">
      <x:c r="A75" s="15" t="n">
        <x:v>74</x:v>
      </x:c>
      <x:c r="B75" s="15" t="str">
        <x:v>HS196082</x:v>
      </x:c>
      <x:c r="C75" s="15" t="str">
        <x:v>Tân Xã</x:v>
      </x:c>
      <x:c r="D75" s="15" t="str">
        <x:v>Phòng trọ cơ bản</x:v>
      </x:c>
      <x:c r="E75" s="47" t="n">
        <x:v>4.1</x:v>
      </x:c>
      <x:c r="F75" s="47" t="n">
        <x:v>2</x:v>
      </x:c>
      <x:c r="G75" s="53" t="n">
        <x:f>E75-'UocLuongOLS'!$B$6</x:f>
        <x:v>-0.19685039370078794</x:v>
      </x:c>
      <x:c r="H75" s="53" t="n">
        <x:f>F75-'UocLuongOLS'!$B$7</x:f>
        <x:v>-0.07952755905511877</x:v>
      </x:c>
      <x:c r="I75" s="53" t="n">
        <x:f>G75*H75</x:f>
        <x:v>0.01565503131006279</x:v>
      </x:c>
      <x:c r="J75" s="53" t="n">
        <x:f>G75^2</x:f>
        <x:v>0.03875007750015521</x:v>
      </x:c>
      <x:c r="K75" s="53" t="n">
        <x:f>'UocLuongOLS'!$B$14+'UocLuongOLS'!$B$13*E75</x:f>
        <x:v>2.114045201724506</x:v>
      </x:c>
      <x:c r="L75" s="53" t="n">
        <x:f>F75-K75</x:f>
        <x:v>-0.11404520172450594</x:v>
      </x:c>
      <x:c r="M75" s="53" t="n">
        <x:f>L75^2</x:f>
        <x:v>0.013006308036383253</x:v>
      </x:c>
      <x:c r="N75" s="53" t="n">
        <x:f>H75^2</x:f>
        <x:v>0.006324632649265403</x:v>
      </x:c>
    </x:row>
    <x:row r="76">
      <x:c r="A76" s="15" t="n">
        <x:v>75</x:v>
      </x:c>
      <x:c r="B76" s="15" t="str">
        <x:v>HC209552</x:v>
      </x:c>
      <x:c r="C76" s="15" t="str">
        <x:v>Thạch Hòa</x:v>
      </x:c>
      <x:c r="D76" s="15" t="str">
        <x:v>Phòng trọ cơ bản</x:v>
      </x:c>
      <x:c r="E76" s="47" t="n">
        <x:v>4.2</x:v>
      </x:c>
      <x:c r="F76" s="47" t="n">
        <x:v>1.8</x:v>
      </x:c>
      <x:c r="G76" s="53" t="n">
        <x:f>E76-'UocLuongOLS'!$B$6</x:f>
        <x:v>-0.09685039370078741</x:v>
      </x:c>
      <x:c r="H76" s="53" t="n">
        <x:f>F76-'UocLuongOLS'!$B$7</x:f>
        <x:v>-0.2795275590551187</x:v>
      </x:c>
      <x:c r="I76" s="53" t="n">
        <x:f>G76*H76</x:f>
        <x:v>0.02707235414470835</x:v>
      </x:c>
      <x:c r="J76" s="53" t="n">
        <x:f>G76^2</x:f>
        <x:v>0.00937999875999752</x:v>
      </x:c>
      <x:c r="K76" s="53" t="n">
        <x:f>'UocLuongOLS'!$B$14+'UocLuongOLS'!$B$13*E76</x:f>
        <x:v>2.0965102392484574</x:v>
      </x:c>
      <x:c r="L76" s="53" t="n">
        <x:f>F76-K76</x:f>
        <x:v>-0.2965102392484573</x:v>
      </x:c>
      <x:c r="M76" s="53" t="n">
        <x:f>L76^2</x:f>
        <x:v>0.0879183219791774</x:v>
      </x:c>
      <x:c r="N76" s="53" t="n">
        <x:f>H76^2</x:f>
        <x:v>0.07813565627131289</x:v>
      </x:c>
    </x:row>
    <x:row r="77">
      <x:c r="A77" s="15" t="n">
        <x:v>76</x:v>
      </x:c>
      <x:c r="B77" s="15" t="str">
        <x:v>HA181029</x:v>
      </x:c>
      <x:c r="C77" s="15" t="str">
        <x:v>Tân Xã</x:v>
      </x:c>
      <x:c r="D77" s="15" t="str">
        <x:v>Phòng trọ cơ bản</x:v>
      </x:c>
      <x:c r="E77" s="47" t="n">
        <x:v>4.2</x:v>
      </x:c>
      <x:c r="F77" s="47" t="n">
        <x:v>2.1</x:v>
      </x:c>
      <x:c r="G77" s="53" t="n">
        <x:f>E77-'UocLuongOLS'!$B$6</x:f>
        <x:v>-0.09685039370078741</x:v>
      </x:c>
      <x:c r="H77" s="53" t="n">
        <x:f>F77-'UocLuongOLS'!$B$7</x:f>
        <x:v>0.02047244094488132</x:v>
      </x:c>
      <x:c r="I77" s="53" t="n">
        <x:f>G77*H77</x:f>
        <x:v>-0.001982763965527876</x:v>
      </x:c>
      <x:c r="J77" s="53" t="n">
        <x:f>G77^2</x:f>
        <x:v>0.00937999875999752</x:v>
      </x:c>
      <x:c r="K77" s="53" t="n">
        <x:f>'UocLuongOLS'!$B$14+'UocLuongOLS'!$B$13*E77</x:f>
        <x:v>2.0965102392484574</x:v>
      </x:c>
      <x:c r="L77" s="53" t="n">
        <x:f>F77-K77</x:f>
        <x:v>0.0034897607515427254</x:v>
      </x:c>
      <x:c r="M77" s="53" t="n">
        <x:f>L77^2</x:f>
        <x:v>0.000012178430103008047</x:v>
      </x:c>
      <x:c r="N77" s="53" t="n">
        <x:f>H77^2</x:f>
        <x:v>0.00041912083824165316</x:v>
      </x:c>
    </x:row>
    <x:row r="78">
      <x:c r="A78" s="15" t="n">
        <x:v>77</x:v>
      </x:c>
      <x:c r="B78" s="15" t="str">
        <x:v>HE201633</x:v>
      </x:c>
      <x:c r="C78" s="15" t="str">
        <x:v>Thạch Hòa</x:v>
      </x:c>
      <x:c r="D78" s="15" t="str">
        <x:v>Chung cư mini</x:v>
      </x:c>
      <x:c r="E78" s="47" t="n">
        <x:v>4.2</x:v>
      </x:c>
      <x:c r="F78" s="47" t="n">
        <x:v>2.8</x:v>
      </x:c>
      <x:c r="G78" s="53" t="n">
        <x:f>E78-'UocLuongOLS'!$B$6</x:f>
        <x:v>-0.09685039370078741</x:v>
      </x:c>
      <x:c r="H78" s="53" t="n">
        <x:f>F78-'UocLuongOLS'!$B$7</x:f>
        <x:v>0.720472440944881</x:v>
      </x:c>
      <x:c r="I78" s="53" t="n">
        <x:f>G78*H78</x:f>
        <x:v>-0.06977803955607903</x:v>
      </x:c>
      <x:c r="J78" s="53" t="n">
        <x:f>G78^2</x:f>
        <x:v>0.00937999875999752</x:v>
      </x:c>
      <x:c r="K78" s="53" t="n">
        <x:f>'UocLuongOLS'!$B$14+'UocLuongOLS'!$B$13*E78</x:f>
        <x:v>2.0965102392484574</x:v>
      </x:c>
      <x:c r="L78" s="53" t="n">
        <x:f>F78-K78</x:f>
        <x:v>0.7034897607515425</x:v>
      </x:c>
      <x:c r="M78" s="53" t="n">
        <x:f>L78^2</x:f>
        <x:v>0.49489784348226246</x:v>
      </x:c>
      <x:c r="N78" s="53" t="n">
        <x:f>H78^2</x:f>
        <x:v>0.5190805381610751</x:v>
      </x:c>
    </x:row>
    <x:row r="79">
      <x:c r="A79" s="15" t="n">
        <x:v>78</x:v>
      </x:c>
      <x:c r="B79" s="15" t="str">
        <x:v>HC210076</x:v>
      </x:c>
      <x:c r="C79" s="15" t="str">
        <x:v>Thạch Hòa</x:v>
      </x:c>
      <x:c r="D79" s="15" t="str">
        <x:v>Phòng trọ cơ bản</x:v>
      </x:c>
      <x:c r="E79" s="47" t="n">
        <x:v>4.2</x:v>
      </x:c>
      <x:c r="F79" s="47" t="n">
        <x:v>1.8</x:v>
      </x:c>
      <x:c r="G79" s="53" t="n">
        <x:f>E79-'UocLuongOLS'!$B$6</x:f>
        <x:v>-0.09685039370078741</x:v>
      </x:c>
      <x:c r="H79" s="53" t="n">
        <x:f>F79-'UocLuongOLS'!$B$7</x:f>
        <x:v>-0.2795275590551187</x:v>
      </x:c>
      <x:c r="I79" s="53" t="n">
        <x:f>G79*H79</x:f>
        <x:v>0.02707235414470835</x:v>
      </x:c>
      <x:c r="J79" s="53" t="n">
        <x:f>G79^2</x:f>
        <x:v>0.00937999875999752</x:v>
      </x:c>
      <x:c r="K79" s="53" t="n">
        <x:f>'UocLuongOLS'!$B$14+'UocLuongOLS'!$B$13*E79</x:f>
        <x:v>2.0965102392484574</x:v>
      </x:c>
      <x:c r="L79" s="53" t="n">
        <x:f>F79-K79</x:f>
        <x:v>-0.2965102392484573</x:v>
      </x:c>
      <x:c r="M79" s="53" t="n">
        <x:f>L79^2</x:f>
        <x:v>0.0879183219791774</x:v>
      </x:c>
      <x:c r="N79" s="53" t="n">
        <x:f>H79^2</x:f>
        <x:v>0.07813565627131289</x:v>
      </x:c>
    </x:row>
    <x:row r="80">
      <x:c r="A80" s="15" t="n">
        <x:v>79</x:v>
      </x:c>
      <x:c r="B80" s="15" t="str">
        <x:v>HC195661</x:v>
      </x:c>
      <x:c r="C80" s="15" t="str">
        <x:v>Thạch Hòa</x:v>
      </x:c>
      <x:c r="D80" s="15" t="str">
        <x:v>Phòng trọ cơ bản</x:v>
      </x:c>
      <x:c r="E80" s="47" t="n">
        <x:v>4.2</x:v>
      </x:c>
      <x:c r="F80" s="47" t="n">
        <x:v>1.8</x:v>
      </x:c>
      <x:c r="G80" s="53" t="n">
        <x:f>E80-'UocLuongOLS'!$B$6</x:f>
        <x:v>-0.09685039370078741</x:v>
      </x:c>
      <x:c r="H80" s="53" t="n">
        <x:f>F80-'UocLuongOLS'!$B$7</x:f>
        <x:v>-0.2795275590551187</x:v>
      </x:c>
      <x:c r="I80" s="53" t="n">
        <x:f>G80*H80</x:f>
        <x:v>0.02707235414470835</x:v>
      </x:c>
      <x:c r="J80" s="53" t="n">
        <x:f>G80^2</x:f>
        <x:v>0.00937999875999752</x:v>
      </x:c>
      <x:c r="K80" s="53" t="n">
        <x:f>'UocLuongOLS'!$B$14+'UocLuongOLS'!$B$13*E80</x:f>
        <x:v>2.0965102392484574</x:v>
      </x:c>
      <x:c r="L80" s="53" t="n">
        <x:f>F80-K80</x:f>
        <x:v>-0.2965102392484573</x:v>
      </x:c>
      <x:c r="M80" s="53" t="n">
        <x:f>L80^2</x:f>
        <x:v>0.0879183219791774</x:v>
      </x:c>
      <x:c r="N80" s="53" t="n">
        <x:f>H80^2</x:f>
        <x:v>0.07813565627131289</x:v>
      </x:c>
    </x:row>
    <x:row r="81">
      <x:c r="A81" s="15" t="n">
        <x:v>80</x:v>
      </x:c>
      <x:c r="B81" s="15" t="str">
        <x:v>HA206956</x:v>
      </x:c>
      <x:c r="C81" s="15" t="str">
        <x:v>Tân Xã</x:v>
      </x:c>
      <x:c r="D81" s="15" t="str">
        <x:v>Phòng trọ cơ bản</x:v>
      </x:c>
      <x:c r="E81" s="47" t="n">
        <x:v>4.3</x:v>
      </x:c>
      <x:c r="F81" s="47" t="n">
        <x:v>1.9</x:v>
      </x:c>
      <x:c r="G81" s="53" t="n">
        <x:f>E81-'UocLuongOLS'!$B$6</x:f>
        <x:v>0.0031496062992122376</x:v>
      </x:c>
      <x:c r="H81" s="53" t="n">
        <x:f>F81-'UocLuongOLS'!$B$7</x:f>
        <x:v>-0.17952755905511886</x:v>
      </x:c>
      <x:c r="I81" s="53" t="n">
        <x:f>G81*H81</x:f>
        <x:v>-0.0005654411308821994</x:v>
      </x:c>
      <x:c r="J81" s="53" t="n">
        <x:f>G81^2</x:f>
        <x:v>0.000009920019840037407</x:v>
      </x:c>
      <x:c r="K81" s="53" t="n">
        <x:f>'UocLuongOLS'!$B$14+'UocLuongOLS'!$B$13*E81</x:f>
        <x:v>2.078975276772409</x:v>
      </x:c>
      <x:c r="L81" s="53" t="n">
        <x:f>F81-K81</x:f>
        <x:v>-0.17897527677240888</x:v>
      </x:c>
      <x:c r="M81" s="53" t="n">
        <x:f>L81^2</x:f>
        <x:v>0.03203214969576036</x:v>
      </x:c>
      <x:c r="N81" s="53" t="n">
        <x:f>H81^2</x:f>
        <x:v>0.03223014446028919</x:v>
      </x:c>
    </x:row>
    <x:row r="82">
      <x:c r="A82" s="15" t="n">
        <x:v>81</x:v>
      </x:c>
      <x:c r="B82" s="15" t="str">
        <x:v>HA185605</x:v>
      </x:c>
      <x:c r="C82" s="15" t="str">
        <x:v>Thạch Hòa</x:v>
      </x:c>
      <x:c r="D82" s="15" t="str">
        <x:v>Chung cư mini</x:v>
      </x:c>
      <x:c r="E82" s="47" t="n">
        <x:v>4.3</x:v>
      </x:c>
      <x:c r="F82" s="47" t="n">
        <x:v>2.5</x:v>
      </x:c>
      <x:c r="G82" s="53" t="n">
        <x:f>E82-'UocLuongOLS'!$B$6</x:f>
        <x:v>0.0031496062992122376</x:v>
      </x:c>
      <x:c r="H82" s="53" t="n">
        <x:f>F82-'UocLuongOLS'!$B$7</x:f>
        <x:v>0.42047244094488123</x:v>
      </x:c>
      <x:c r="I82" s="53" t="n">
        <x:f>G82*H82</x:f>
        <x:v>0.0013243226486451434</x:v>
      </x:c>
      <x:c r="J82" s="53" t="n">
        <x:f>G82^2</x:f>
        <x:v>0.000009920019840037407</x:v>
      </x:c>
      <x:c r="K82" s="53" t="n">
        <x:f>'UocLuongOLS'!$B$14+'UocLuongOLS'!$B$13*E82</x:f>
        <x:v>2.078975276772409</x:v>
      </x:c>
      <x:c r="L82" s="53" t="n">
        <x:f>F82-K82</x:f>
        <x:v>0.4210247232275912</x:v>
      </x:c>
      <x:c r="M82" s="53" t="n">
        <x:f>L82^2</x:f>
        <x:v>0.17726181756886977</x:v>
      </x:c>
      <x:c r="N82" s="53" t="n">
        <x:f>H82^2</x:f>
        <x:v>0.17679707359414665</x:v>
      </x:c>
    </x:row>
    <x:row r="83">
      <x:c r="A83" s="15" t="n">
        <x:v>82</x:v>
      </x:c>
      <x:c r="B83" s="15" t="str">
        <x:v>HE189144</x:v>
      </x:c>
      <x:c r="C83" s="15" t="str">
        <x:v>Tân Xã</x:v>
      </x:c>
      <x:c r="D83" s="15" t="str">
        <x:v>Phòng trọ cơ bản</x:v>
      </x:c>
      <x:c r="E83" s="47" t="n">
        <x:v>4.3</x:v>
      </x:c>
      <x:c r="F83" s="47" t="n">
        <x:v>2.3</x:v>
      </x:c>
      <x:c r="G83" s="53" t="n">
        <x:f>E83-'UocLuongOLS'!$B$6</x:f>
        <x:v>0.0031496062992122376</x:v>
      </x:c>
      <x:c r="H83" s="53" t="n">
        <x:f>F83-'UocLuongOLS'!$B$7</x:f>
        <x:v>0.22047244094488105</x:v>
      </x:c>
      <x:c r="I83" s="53" t="n">
        <x:f>G83*H83</x:f>
        <x:v>0.0006944013888026954</x:v>
      </x:c>
      <x:c r="J83" s="53" t="n">
        <x:f>G83^2</x:f>
        <x:v>0.000009920019840037407</x:v>
      </x:c>
      <x:c r="K83" s="53" t="n">
        <x:f>'UocLuongOLS'!$B$14+'UocLuongOLS'!$B$13*E83</x:f>
        <x:v>2.078975276772409</x:v>
      </x:c>
      <x:c r="L83" s="53" t="n">
        <x:f>F83-K83</x:f>
        <x:v>0.22102472322759104</x:v>
      </x:c>
      <x:c r="M83" s="53" t="n">
        <x:f>L83^2</x:f>
        <x:v>0.04885192827783322</x:v>
      </x:c>
      <x:c r="N83" s="53" t="n">
        <x:f>H83^2</x:f>
        <x:v>0.048608097216194066</x:v>
      </x:c>
    </x:row>
    <x:row r="84">
      <x:c r="A84" s="15" t="n">
        <x:v>83</x:v>
      </x:c>
      <x:c r="B84" s="15" t="str">
        <x:v>HC215141</x:v>
      </x:c>
      <x:c r="C84" s="15" t="str">
        <x:v>Thạch Hòa</x:v>
      </x:c>
      <x:c r="D84" s="15" t="str">
        <x:v>Chung cư mini</x:v>
      </x:c>
      <x:c r="E84" s="47" t="n">
        <x:v>4.4</x:v>
      </x:c>
      <x:c r="F84" s="47" t="n">
        <x:v>2.6</x:v>
      </x:c>
      <x:c r="G84" s="53" t="n">
        <x:f>E84-'UocLuongOLS'!$B$6</x:f>
        <x:v>0.10314960629921277</x:v>
      </x:c>
      <x:c r="H84" s="53" t="n">
        <x:f>F84-'UocLuongOLS'!$B$7</x:f>
        <x:v>0.5204724409448813</x:v>
      </x:c>
      <x:c r="I84" s="53" t="n">
        <x:f>G84*H84</x:f>
        <x:v>0.05368652737305478</x:v>
      </x:c>
      <x:c r="J84" s="53" t="n">
        <x:f>G84^2</x:f>
        <x:v>0.010639841279682595</x:v>
      </x:c>
      <x:c r="K84" s="53" t="n">
        <x:f>'UocLuongOLS'!$B$14+'UocLuongOLS'!$B$13*E84</x:f>
        <x:v>2.06144031429636</x:v>
      </x:c>
      <x:c r="L84" s="53" t="n">
        <x:f>F84-K84</x:f>
        <x:v>0.5385596857036399</x:v>
      </x:c>
      <x:c r="M84" s="53" t="n">
        <x:f>L84^2</x:f>
        <x:v>0.2900465350652034</x:v>
      </x:c>
      <x:c r="N84" s="53" t="n">
        <x:f>H84^2</x:f>
        <x:v>0.27089156178312296</x:v>
      </x:c>
    </x:row>
    <x:row r="85">
      <x:c r="A85" s="15" t="n">
        <x:v>84</x:v>
      </x:c>
      <x:c r="B85" s="15" t="str">
        <x:v>HS191543</x:v>
      </x:c>
      <x:c r="C85" s="15" t="str">
        <x:v>Thạch Hòa</x:v>
      </x:c>
      <x:c r="D85" s="15" t="str">
        <x:v>Phòng trọ cơ bản</x:v>
      </x:c>
      <x:c r="E85" s="47" t="n">
        <x:v>4.5</x:v>
      </x:c>
      <x:c r="F85" s="47" t="n">
        <x:v>1.9</x:v>
      </x:c>
      <x:c r="G85" s="53" t="n">
        <x:f>E85-'UocLuongOLS'!$B$6</x:f>
        <x:v>0.20314960629921242</x:v>
      </x:c>
      <x:c r="H85" s="53" t="n">
        <x:f>F85-'UocLuongOLS'!$B$7</x:f>
        <x:v>-0.17952755905511886</x:v>
      </x:c>
      <x:c r="I85" s="53" t="n">
        <x:f>G85*H85</x:f>
        <x:v>-0.036470952941906006</x:v>
      </x:c>
      <x:c r="J85" s="53" t="n">
        <x:f>G85^2</x:f>
        <x:v>0.041269762539525</x:v>
      </x:c>
      <x:c r="K85" s="53" t="n">
        <x:f>'UocLuongOLS'!$B$14+'UocLuongOLS'!$B$13*E85</x:f>
        <x:v>2.0439053518203116</x:v>
      </x:c>
      <x:c r="L85" s="53" t="n">
        <x:f>F85-K85</x:f>
        <x:v>-0.14390535182031172</x:v>
      </x:c>
      <x:c r="M85" s="53" t="n">
        <x:f>L85^2</x:f>
        <x:v>0.020708750282527694</x:v>
      </x:c>
      <x:c r="N85" s="53" t="n">
        <x:f>H85^2</x:f>
        <x:v>0.03223014446028919</x:v>
      </x:c>
    </x:row>
    <x:row r="86">
      <x:c r="A86" s="15" t="n">
        <x:v>85</x:v>
      </x:c>
      <x:c r="B86" s="15" t="str">
        <x:v>HE213512</x:v>
      </x:c>
      <x:c r="C86" s="15" t="str">
        <x:v>Thạch Hòa</x:v>
      </x:c>
      <x:c r="D86" s="15" t="str">
        <x:v>Phòng trọ cơ bản</x:v>
      </x:c>
      <x:c r="E86" s="47" t="n">
        <x:v>4.5</x:v>
      </x:c>
      <x:c r="F86" s="47" t="n">
        <x:v>2</x:v>
      </x:c>
      <x:c r="G86" s="53" t="n">
        <x:f>E86-'UocLuongOLS'!$B$6</x:f>
        <x:v>0.20314960629921242</x:v>
      </x:c>
      <x:c r="H86" s="53" t="n">
        <x:f>F86-'UocLuongOLS'!$B$7</x:f>
        <x:v>-0.07952755905511877</x:v>
      </x:c>
      <x:c r="I86" s="53" t="n">
        <x:f>G86*H86</x:f>
        <x:v>-0.016155992311984745</x:v>
      </x:c>
      <x:c r="J86" s="53" t="n">
        <x:f>G86^2</x:f>
        <x:v>0.041269762539525</x:v>
      </x:c>
      <x:c r="K86" s="53" t="n">
        <x:f>'UocLuongOLS'!$B$14+'UocLuongOLS'!$B$13*E86</x:f>
        <x:v>2.0439053518203116</x:v>
      </x:c>
      <x:c r="L86" s="53" t="n">
        <x:f>F86-K86</x:f>
        <x:v>-0.04390535182031163</x:v>
      </x:c>
      <x:c r="M86" s="53" t="n">
        <x:f>L86^2</x:f>
        <x:v>0.001927679918465342</x:v>
      </x:c>
      <x:c r="N86" s="53" t="n">
        <x:f>H86^2</x:f>
        <x:v>0.006324632649265403</x:v>
      </x:c>
    </x:row>
    <x:row r="87">
      <x:c r="A87" s="15" t="n">
        <x:v>86</x:v>
      </x:c>
      <x:c r="B87" s="15" t="str">
        <x:v>HS204920</x:v>
      </x:c>
      <x:c r="C87" s="15" t="str">
        <x:v>Thạch Hòa</x:v>
      </x:c>
      <x:c r="D87" s="15" t="str">
        <x:v>Phòng trọ cơ bản</x:v>
      </x:c>
      <x:c r="E87" s="47" t="n">
        <x:v>4.6</x:v>
      </x:c>
      <x:c r="F87" s="47" t="n">
        <x:v>1.8</x:v>
      </x:c>
      <x:c r="G87" s="53" t="n">
        <x:f>E87-'UocLuongOLS'!$B$6</x:f>
        <x:v>0.30314960629921206</x:v>
      </x:c>
      <x:c r="H87" s="53" t="n">
        <x:f>F87-'UocLuongOLS'!$B$7</x:f>
        <x:v>-0.2795275590551187</x:v>
      </x:c>
      <x:c r="I87" s="53" t="n">
        <x:f>G87*H87</x:f>
        <x:v>-0.08473866947733899</x:v>
      </x:c>
      <x:c r="J87" s="53" t="n">
        <x:f>G87^2</x:f>
        <x:v>0.09189968379936728</x:v>
      </x:c>
      <x:c r="K87" s="53" t="n">
        <x:f>'UocLuongOLS'!$B$14+'UocLuongOLS'!$B$13*E87</x:f>
        <x:v>2.026370389344263</x:v>
      </x:c>
      <x:c r="L87" s="53" t="n">
        <x:f>F87-K87</x:f>
        <x:v>-0.226370389344263</x:v>
      </x:c>
      <x:c r="M87" s="53" t="n">
        <x:f>L87^2</x:f>
        <x:v>0.05124355317187323</x:v>
      </x:c>
      <x:c r="N87" s="53" t="n">
        <x:f>H87^2</x:f>
        <x:v>0.07813565627131289</x:v>
      </x:c>
    </x:row>
    <x:row r="88">
      <x:c r="A88" s="15" t="n">
        <x:v>87</x:v>
      </x:c>
      <x:c r="B88" s="15" t="str">
        <x:v>HS184423</x:v>
      </x:c>
      <x:c r="C88" s="15" t="str">
        <x:v>Hòa Lạc</x:v>
      </x:c>
      <x:c r="D88" s="15" t="str">
        <x:v>Phòng khép kín</x:v>
      </x:c>
      <x:c r="E88" s="47" t="n">
        <x:v>4.7</x:v>
      </x:c>
      <x:c r="F88" s="47" t="n">
        <x:v>1.9</x:v>
      </x:c>
      <x:c r="G88" s="53" t="n">
        <x:f>E88-'UocLuongOLS'!$B$6</x:f>
        <x:v>0.4031496062992126</x:v>
      </x:c>
      <x:c r="H88" s="53" t="n">
        <x:f>F88-'UocLuongOLS'!$B$7</x:f>
        <x:v>-0.17952755905511886</x:v>
      </x:c>
      <x:c r="I88" s="53" t="n">
        <x:f>G88*H88</x:f>
        <x:v>-0.0723764647529298</x:v>
      </x:c>
      <x:c r="J88" s="53" t="n">
        <x:f>G88^2</x:f>
        <x:v>0.1625296050592101</x:v>
      </x:c>
      <x:c r="K88" s="53" t="n">
        <x:f>'UocLuongOLS'!$B$14+'UocLuongOLS'!$B$13*E88</x:f>
        <x:v>2.0088354268682145</x:v>
      </x:c>
      <x:c r="L88" s="53" t="n">
        <x:f>F88-K88</x:f>
        <x:v>-0.10883542686821457</x:v>
      </x:c>
      <x:c r="M88" s="53" t="n">
        <x:f>L88^2</x:f>
        <x:v>0.01184515014158648</x:v>
      </x:c>
      <x:c r="N88" s="53" t="n">
        <x:f>H88^2</x:f>
        <x:v>0.03223014446028919</x:v>
      </x:c>
    </x:row>
    <x:row r="89">
      <x:c r="A89" s="15" t="n">
        <x:v>88</x:v>
      </x:c>
      <x:c r="B89" s="15" t="str">
        <x:v>HA198859</x:v>
      </x:c>
      <x:c r="C89" s="15" t="str">
        <x:v>Hòa Lạc</x:v>
      </x:c>
      <x:c r="D89" s="15" t="str">
        <x:v>Phòng khép kín</x:v>
      </x:c>
      <x:c r="E89" s="47" t="n">
        <x:v>4.8</x:v>
      </x:c>
      <x:c r="F89" s="47" t="n">
        <x:v>2</x:v>
      </x:c>
      <x:c r="G89" s="53" t="n">
        <x:f>E89-'UocLuongOLS'!$B$6</x:f>
        <x:v>0.5031496062992122</x:v>
      </x:c>
      <x:c r="H89" s="53" t="n">
        <x:f>F89-'UocLuongOLS'!$B$7</x:f>
        <x:v>-0.07952755905511877</x:v>
      </x:c>
      <x:c r="I89" s="53" t="n">
        <x:f>G89*H89</x:f>
        <x:v>-0.04001426002852036</x:v>
      </x:c>
      <x:c r="J89" s="53" t="n">
        <x:f>G89^2</x:f>
        <x:v>0.25315952631905225</x:v>
      </x:c>
      <x:c r="K89" s="53" t="n">
        <x:f>'UocLuongOLS'!$B$14+'UocLuongOLS'!$B$13*E89</x:f>
        <x:v>1.991300464392166</x:v>
      </x:c>
      <x:c r="L89" s="53" t="n">
        <x:f>F89-K89</x:f>
        <x:v>0.008699535607834097</x:v>
      </x:c>
      <x:c r="M89" s="53" t="n">
        <x:f>L89^2</x:f>
        <x:v>0.00007568191979197336</x:v>
      </x:c>
      <x:c r="N89" s="53" t="n">
        <x:f>H89^2</x:f>
        <x:v>0.006324632649265403</x:v>
      </x:c>
    </x:row>
    <x:row r="90">
      <x:c r="A90" s="15" t="n">
        <x:v>89</x:v>
      </x:c>
      <x:c r="B90" s="15" t="str">
        <x:v>HS210790</x:v>
      </x:c>
      <x:c r="C90" s="15" t="str">
        <x:v>Thạch Hòa</x:v>
      </x:c>
      <x:c r="D90" s="15" t="str">
        <x:v>Phòng trọ cơ bản</x:v>
      </x:c>
      <x:c r="E90" s="47" t="n">
        <x:v>4.8</x:v>
      </x:c>
      <x:c r="F90" s="47" t="n">
        <x:v>1.8</x:v>
      </x:c>
      <x:c r="G90" s="53" t="n">
        <x:f>E90-'UocLuongOLS'!$B$6</x:f>
        <x:v>0.5031496062992122</x:v>
      </x:c>
      <x:c r="H90" s="53" t="n">
        <x:f>F90-'UocLuongOLS'!$B$7</x:f>
        <x:v>-0.2795275590551187</x:v>
      </x:c>
      <x:c r="I90" s="53" t="n">
        <x:f>G90*H90</x:f>
        <x:v>-0.14064418128836279</x:v>
      </x:c>
      <x:c r="J90" s="53" t="n">
        <x:f>G90^2</x:f>
        <x:v>0.25315952631905225</x:v>
      </x:c>
      <x:c r="K90" s="53" t="n">
        <x:f>'UocLuongOLS'!$B$14+'UocLuongOLS'!$B$13*E90</x:f>
        <x:v>1.991300464392166</x:v>
      </x:c>
      <x:c r="L90" s="53" t="n">
        <x:f>F90-K90</x:f>
        <x:v>-0.19130046439216586</x:v>
      </x:c>
      <x:c r="M90" s="53" t="n">
        <x:f>L90^2</x:f>
        <x:v>0.03659586767665832</x:v>
      </x:c>
      <x:c r="N90" s="53" t="n">
        <x:f>H90^2</x:f>
        <x:v>0.07813565627131289</x:v>
      </x:c>
    </x:row>
    <x:row r="91">
      <x:c r="A91" s="15" t="n">
        <x:v>90</x:v>
      </x:c>
      <x:c r="B91" s="15" t="str">
        <x:v>HE185925</x:v>
      </x:c>
      <x:c r="C91" s="15" t="str">
        <x:v>Hòa Lạc</x:v>
      </x:c>
      <x:c r="D91" s="15" t="str">
        <x:v>Phòng khép kín</x:v>
      </x:c>
      <x:c r="E91" s="47" t="n">
        <x:v>4.9</x:v>
      </x:c>
      <x:c r="F91" s="47" t="n">
        <x:v>2</x:v>
      </x:c>
      <x:c r="G91" s="53" t="n">
        <x:f>E91-'UocLuongOLS'!$B$6</x:f>
        <x:v>0.6031496062992128</x:v>
      </x:c>
      <x:c r="H91" s="53" t="n">
        <x:f>F91-'UocLuongOLS'!$B$7</x:f>
        <x:v>-0.07952755905511877</x:v>
      </x:c>
      <x:c r="I91" s="53" t="n">
        <x:f>G91*H91</x:f>
        <x:v>-0.04796701593403228</x:v>
      </x:c>
      <x:c r="J91" s="53" t="n">
        <x:f>G91^2</x:f>
        <x:v>0.36378944757889536</x:v>
      </x:c>
      <x:c r="K91" s="53" t="n">
        <x:f>'UocLuongOLS'!$B$14+'UocLuongOLS'!$B$13*E91</x:f>
        <x:v>1.9737655019161173</x:v>
      </x:c>
      <x:c r="L91" s="53" t="n">
        <x:f>F91-K91</x:f>
        <x:v>0.026234498083882674</x:v>
      </x:c>
      <x:c r="M91" s="53" t="n">
        <x:f>L91^2</x:f>
        <x:v>0.0006882488897132436</x:v>
      </x:c>
      <x:c r="N91" s="53" t="n">
        <x:f>H91^2</x:f>
        <x:v>0.006324632649265403</x:v>
      </x:c>
    </x:row>
    <x:row r="92">
      <x:c r="A92" s="15" t="n">
        <x:v>91</x:v>
      </x:c>
      <x:c r="B92" s="15" t="str">
        <x:v>HC181187</x:v>
      </x:c>
      <x:c r="C92" s="15" t="str">
        <x:v>Hòa Lạc</x:v>
      </x:c>
      <x:c r="D92" s="15" t="str">
        <x:v>Phòng khép kín</x:v>
      </x:c>
      <x:c r="E92" s="47" t="n">
        <x:v>5</x:v>
      </x:c>
      <x:c r="F92" s="47" t="n">
        <x:v>1.9</x:v>
      </x:c>
      <x:c r="G92" s="53" t="n">
        <x:f>E92-'UocLuongOLS'!$B$6</x:f>
        <x:v>0.7031496062992124</x:v>
      </x:c>
      <x:c r="H92" s="53" t="n">
        <x:f>F92-'UocLuongOLS'!$B$7</x:f>
        <x:v>-0.17952755905511886</x:v>
      </x:c>
      <x:c r="I92" s="53" t="n">
        <x:f>G92*H92</x:f>
        <x:v>-0.12623473246946543</x:v>
      </x:c>
      <x:c r="J92" s="53" t="n">
        <x:f>G92^2</x:f>
        <x:v>0.49441936883873744</x:v>
      </x:c>
      <x:c r="K92" s="53" t="n">
        <x:f>'UocLuongOLS'!$B$14+'UocLuongOLS'!$B$13*E92</x:f>
        <x:v>1.956230539440069</x:v>
      </x:c>
      <x:c r="L92" s="53" t="n">
        <x:f>F92-K92</x:f>
        <x:v>-0.05623053944006906</x:v>
      </x:c>
      <x:c r="M92" s="53" t="n">
        <x:f>L92^2</x:f>
        <x:v>0.003161873565721162</x:v>
      </x:c>
      <x:c r="N92" s="53" t="n">
        <x:f>H92^2</x:f>
        <x:v>0.03223014446028919</x:v>
      </x:c>
    </x:row>
    <x:row r="93">
      <x:c r="A93" s="15" t="n">
        <x:v>92</x:v>
      </x:c>
      <x:c r="B93" s="15" t="str">
        <x:v>HE188388</x:v>
      </x:c>
      <x:c r="C93" s="15" t="str">
        <x:v>Hòa Lạc</x:v>
      </x:c>
      <x:c r="D93" s="15" t="str">
        <x:v>Phòng khép kín</x:v>
      </x:c>
      <x:c r="E93" s="47" t="n">
        <x:v>5.1</x:v>
      </x:c>
      <x:c r="F93" s="47" t="n">
        <x:v>1.9</x:v>
      </x:c>
      <x:c r="G93" s="53" t="n">
        <x:f>E93-'UocLuongOLS'!$B$6</x:f>
        <x:v>0.8031496062992121</x:v>
      </x:c>
      <x:c r="H93" s="53" t="n">
        <x:f>F93-'UocLuongOLS'!$B$7</x:f>
        <x:v>-0.17952755905511886</x:v>
      </x:c>
      <x:c r="I93" s="53" t="n">
        <x:f>G93*H93</x:f>
        <x:v>-0.14418748837497725</x:v>
      </x:c>
      <x:c r="J93" s="53" t="n">
        <x:f>G93^2</x:f>
        <x:v>0.6450492900985794</x:v>
      </x:c>
      <x:c r="K93" s="53" t="n">
        <x:f>'UocLuongOLS'!$B$14+'UocLuongOLS'!$B$13*E93</x:f>
        <x:v>1.9386955769640206</x:v>
      </x:c>
      <x:c r="L93" s="53" t="n">
        <x:f>F93-K93</x:f>
        <x:v>-0.038695576964020706</x:v>
      </x:c>
      <x:c r="M93" s="53" t="n">
        <x:f>L93^2</x:f>
        <x:v>0.00149734767657845</x:v>
      </x:c>
      <x:c r="N93" s="53" t="n">
        <x:f>H93^2</x:f>
        <x:v>0.03223014446028919</x:v>
      </x:c>
    </x:row>
    <x:row r="94">
      <x:c r="A94" s="15" t="n">
        <x:v>93</x:v>
      </x:c>
      <x:c r="B94" s="15" t="str">
        <x:v>HC201014</x:v>
      </x:c>
      <x:c r="C94" s="15" t="str">
        <x:v>Hòa Lạc</x:v>
      </x:c>
      <x:c r="D94" s="15" t="str">
        <x:v>Phòng khép kín</x:v>
      </x:c>
      <x:c r="E94" s="47" t="n">
        <x:v>5.2</x:v>
      </x:c>
      <x:c r="F94" s="47" t="n">
        <x:v>1.9</x:v>
      </x:c>
      <x:c r="G94" s="53" t="n">
        <x:f>E94-'UocLuongOLS'!$B$6</x:f>
        <x:v>0.9031496062992126</x:v>
      </x:c>
      <x:c r="H94" s="53" t="n">
        <x:f>F94-'UocLuongOLS'!$B$7</x:f>
        <x:v>-0.17952755905511886</x:v>
      </x:c>
      <x:c r="I94" s="53" t="n">
        <x:f>G94*H94</x:f>
        <x:v>-0.16214024428048923</x:v>
      </x:c>
      <x:c r="J94" s="53" t="n">
        <x:f>G94^2</x:f>
        <x:v>0.8156792113584227</x:v>
      </x:c>
      <x:c r="K94" s="53" t="n">
        <x:f>'UocLuongOLS'!$B$14+'UocLuongOLS'!$B$13*E94</x:f>
        <x:v>1.9211606144879718</x:v>
      </x:c>
      <x:c r="L94" s="53" t="n">
        <x:f>F94-K94</x:f>
        <x:v>-0.021160614487971907</x:v>
      </x:c>
      <x:c r="M94" s="53" t="n">
        <x:f>L94^2</x:f>
        <x:v>0.0004477716055085666</x:v>
      </x:c>
      <x:c r="N94" s="53" t="n">
        <x:f>H94^2</x:f>
        <x:v>0.03223014446028919</x:v>
      </x:c>
    </x:row>
    <x:row r="95">
      <x:c r="A95" s="15" t="n">
        <x:v>94</x:v>
      </x:c>
      <x:c r="B95" s="15" t="str">
        <x:v>HA213375</x:v>
      </x:c>
      <x:c r="C95" s="15" t="str">
        <x:v>Hòa Lạc</x:v>
      </x:c>
      <x:c r="D95" s="15" t="str">
        <x:v>Phòng khép kín</x:v>
      </x:c>
      <x:c r="E95" s="47" t="n">
        <x:v>5.3</x:v>
      </x:c>
      <x:c r="F95" s="47" t="n">
        <x:v>1.9</x:v>
      </x:c>
      <x:c r="G95" s="53" t="n">
        <x:f>E95-'UocLuongOLS'!$B$6</x:f>
        <x:v>1.0031496062992122</x:v>
      </x:c>
      <x:c r="H95" s="53" t="n">
        <x:f>F95-'UocLuongOLS'!$B$7</x:f>
        <x:v>-0.17952755905511886</x:v>
      </x:c>
      <x:c r="I95" s="53" t="n">
        <x:f>G95*H95</x:f>
        <x:v>-0.18009300018600105</x:v>
      </x:c>
      <x:c r="J95" s="53" t="n">
        <x:f>G95^2</x:f>
        <x:v>1.0063091326182645</x:v>
      </x:c>
      <x:c r="K95" s="53" t="n">
        <x:f>'UocLuongOLS'!$B$14+'UocLuongOLS'!$B$13*E95</x:f>
        <x:v>1.9036256520119235</x:v>
      </x:c>
      <x:c r="L95" s="53" t="n">
        <x:f>F95-K95</x:f>
        <x:v>-0.0036256520119235525</x:v>
      </x:c>
      <x:c r="M95" s="53" t="n">
        <x:f>L95^2</x:f>
        <x:v>0.000013145352511565304</x:v>
      </x:c>
      <x:c r="N95" s="53" t="n">
        <x:f>H95^2</x:f>
        <x:v>0.03223014446028919</x:v>
      </x:c>
    </x:row>
    <x:row r="96">
      <x:c r="A96" s="15" t="n">
        <x:v>95</x:v>
      </x:c>
      <x:c r="B96" s="15" t="str">
        <x:v>HA215944</x:v>
      </x:c>
      <x:c r="C96" s="15" t="str">
        <x:v>Hòa Lạc</x:v>
      </x:c>
      <x:c r="D96" s="15" t="str">
        <x:v>Phòng khép kín</x:v>
      </x:c>
      <x:c r="E96" s="47" t="n">
        <x:v>5.4</x:v>
      </x:c>
      <x:c r="F96" s="47" t="n">
        <x:v>1.9</x:v>
      </x:c>
      <x:c r="G96" s="53" t="n">
        <x:f>E96-'UocLuongOLS'!$B$6</x:f>
        <x:v>1.1031496062992128</x:v>
      </x:c>
      <x:c r="H96" s="53" t="n">
        <x:f>F96-'UocLuongOLS'!$B$7</x:f>
        <x:v>-0.17952755905511886</x:v>
      </x:c>
      <x:c r="I96" s="53" t="n">
        <x:f>G96*H96</x:f>
        <x:v>-0.19804575609151304</x:v>
      </x:c>
      <x:c r="J96" s="53" t="n">
        <x:f>G96^2</x:f>
        <x:v>1.2169390538781082</x:v>
      </x:c>
      <x:c r="K96" s="53" t="n">
        <x:f>'UocLuongOLS'!$B$14+'UocLuongOLS'!$B$13*E96</x:f>
        <x:v>1.8860906895358747</x:v>
      </x:c>
      <x:c r="L96" s="53" t="n">
        <x:f>F96-K96</x:f>
        <x:v>0.013909310464125246</x:v>
      </x:c>
      <x:c r="M96" s="53" t="n">
        <x:f>L96^2</x:f>
        <x:v>0.00019346891758742406</x:v>
      </x:c>
      <x:c r="N96" s="53" t="n">
        <x:f>H96^2</x:f>
        <x:v>0.03223014446028919</x:v>
      </x:c>
    </x:row>
    <x:row r="97">
      <x:c r="A97" s="15" t="n">
        <x:v>96</x:v>
      </x:c>
      <x:c r="B97" s="15" t="str">
        <x:v>HC186852</x:v>
      </x:c>
      <x:c r="C97" s="15" t="str">
        <x:v>Hòa Lạc</x:v>
      </x:c>
      <x:c r="D97" s="15" t="str">
        <x:v>Phòng khép kín</x:v>
      </x:c>
      <x:c r="E97" s="47" t="n">
        <x:v>5.5</x:v>
      </x:c>
      <x:c r="F97" s="47" t="n">
        <x:v>1.8</x:v>
      </x:c>
      <x:c r="G97" s="53" t="n">
        <x:f>E97-'UocLuongOLS'!$B$6</x:f>
        <x:v>1.2031496062992124</x:v>
      </x:c>
      <x:c r="H97" s="53" t="n">
        <x:f>F97-'UocLuongOLS'!$B$7</x:f>
        <x:v>-0.2795275590551187</x:v>
      </x:c>
      <x:c r="I97" s="53" t="n">
        <x:f>G97*H97</x:f>
        <x:v>-0.33631347262694594</x:v>
      </x:c>
      <x:c r="J97" s="53" t="n">
        <x:f>G97^2</x:f>
        <x:v>1.44756897513795</x:v>
      </x:c>
      <x:c r="K97" s="53" t="n">
        <x:f>'UocLuongOLS'!$B$14+'UocLuongOLS'!$B$13*E97</x:f>
        <x:v>1.8685557270598263</x:v>
      </x:c>
      <x:c r="L97" s="53" t="n">
        <x:f>F97-K97</x:f>
        <x:v>-0.06855572705982627</x:v>
      </x:c>
      <x:c r="M97" s="53" t="n">
        <x:f>L97^2</x:f>
        <x:v>0.004699887712701395</x:v>
      </x:c>
      <x:c r="N97" s="53" t="n">
        <x:f>H97^2</x:f>
        <x:v>0.07813565627131289</x:v>
      </x:c>
    </x:row>
    <x:row r="98">
      <x:c r="A98" s="15" t="n">
        <x:v>97</x:v>
      </x:c>
      <x:c r="B98" s="15" t="str">
        <x:v>HC212521</x:v>
      </x:c>
      <x:c r="C98" s="15" t="str">
        <x:v>Hòa Lạc</x:v>
      </x:c>
      <x:c r="D98" s="15" t="str">
        <x:v>Phòng khép kín</x:v>
      </x:c>
      <x:c r="E98" s="47" t="n">
        <x:v>5.5</x:v>
      </x:c>
      <x:c r="F98" s="47" t="n">
        <x:v>1.8</x:v>
      </x:c>
      <x:c r="G98" s="53" t="n">
        <x:f>E98-'UocLuongOLS'!$B$6</x:f>
        <x:v>1.2031496062992124</x:v>
      </x:c>
      <x:c r="H98" s="53" t="n">
        <x:f>F98-'UocLuongOLS'!$B$7</x:f>
        <x:v>-0.2795275590551187</x:v>
      </x:c>
      <x:c r="I98" s="53" t="n">
        <x:f>G98*H98</x:f>
        <x:v>-0.33631347262694594</x:v>
      </x:c>
      <x:c r="J98" s="53" t="n">
        <x:f>G98^2</x:f>
        <x:v>1.44756897513795</x:v>
      </x:c>
      <x:c r="K98" s="53" t="n">
        <x:f>'UocLuongOLS'!$B$14+'UocLuongOLS'!$B$13*E98</x:f>
        <x:v>1.8685557270598263</x:v>
      </x:c>
      <x:c r="L98" s="53" t="n">
        <x:f>F98-K98</x:f>
        <x:v>-0.06855572705982627</x:v>
      </x:c>
      <x:c r="M98" s="53" t="n">
        <x:f>L98^2</x:f>
        <x:v>0.004699887712701395</x:v>
      </x:c>
      <x:c r="N98" s="53" t="n">
        <x:f>H98^2</x:f>
        <x:v>0.07813565627131289</x:v>
      </x:c>
    </x:row>
    <x:row r="99">
      <x:c r="A99" s="15" t="n">
        <x:v>98</x:v>
      </x:c>
      <x:c r="B99" s="15" t="str">
        <x:v>HC185573</x:v>
      </x:c>
      <x:c r="C99" s="15" t="str">
        <x:v>Hòa Lạc</x:v>
      </x:c>
      <x:c r="D99" s="15" t="str">
        <x:v>Phòng khép kín</x:v>
      </x:c>
      <x:c r="E99" s="47" t="n">
        <x:v>5.6</x:v>
      </x:c>
      <x:c r="F99" s="47" t="n">
        <x:v>1.9</x:v>
      </x:c>
      <x:c r="G99" s="53" t="n">
        <x:f>E99-'UocLuongOLS'!$B$6</x:f>
        <x:v>1.303149606299212</x:v>
      </x:c>
      <x:c r="H99" s="53" t="n">
        <x:f>F99-'UocLuongOLS'!$B$7</x:f>
        <x:v>-0.17952755905511886</x:v>
      </x:c>
      <x:c r="I99" s="53" t="n">
        <x:f>G99*H99</x:f>
        <x:v>-0.23395126790253667</x:v>
      </x:c>
      <x:c r="J99" s="53" t="n">
        <x:f>G99^2</x:f>
        <x:v>1.6981988963977914</x:v>
      </x:c>
      <x:c r="K99" s="53" t="n">
        <x:f>'UocLuongOLS'!$B$14+'UocLuongOLS'!$B$13*E99</x:f>
        <x:v>1.8510207645837777</x:v>
      </x:c>
      <x:c r="L99" s="53" t="n">
        <x:f>F99-K99</x:f>
        <x:v>0.04897923541622218</x:v>
      </x:c>
      <x:c r="M99" s="53" t="n">
        <x:f>L99^2</x:f>
        <x:v>0.0023989655019577127</x:v>
      </x:c>
      <x:c r="N99" s="53" t="n">
        <x:f>H99^2</x:f>
        <x:v>0.03223014446028919</x:v>
      </x:c>
    </x:row>
    <x:row r="100">
      <x:c r="A100" s="15" t="n">
        <x:v>99</x:v>
      </x:c>
      <x:c r="B100" s="15" t="str">
        <x:v>HE196273</x:v>
      </x:c>
      <x:c r="C100" s="15" t="str">
        <x:v>Hòa Lạc</x:v>
      </x:c>
      <x:c r="D100" s="15" t="str">
        <x:v>Phòng khép kín</x:v>
      </x:c>
      <x:c r="E100" s="47" t="n">
        <x:v>5.7</x:v>
      </x:c>
      <x:c r="F100" s="47" t="n">
        <x:v>1.6</x:v>
      </x:c>
      <x:c r="G100" s="53" t="n">
        <x:f>E100-'UocLuongOLS'!$B$6</x:f>
        <x:v>1.4031496062992126</x:v>
      </x:c>
      <x:c r="H100" s="53" t="n">
        <x:f>F100-'UocLuongOLS'!$B$7</x:f>
        <x:v>-0.4795275590551187</x:v>
      </x:c>
      <x:c r="I100" s="53" t="n">
        <x:f>G100*H100</x:f>
        <x:v>-0.6728489056978122</x:v>
      </x:c>
      <x:c r="J100" s="53" t="n">
        <x:f>G100^2</x:f>
        <x:v>1.9688288176576354</x:v>
      </x:c>
      <x:c r="K100" s="53" t="n">
        <x:f>'UocLuongOLS'!$B$14+'UocLuongOLS'!$B$13*E100</x:f>
        <x:v>1.8334858021077292</x:v>
      </x:c>
      <x:c r="L100" s="53" t="n">
        <x:f>F100-K100</x:f>
        <x:v>-0.23348580210772907</x:v>
      </x:c>
      <x:c r="M100" s="53" t="n">
        <x:f>L100^2</x:f>
        <x:v>0.05451561978588962</x:v>
      </x:c>
      <x:c r="N100" s="53" t="n">
        <x:f>H100^2</x:f>
        <x:v>0.22994667989336035</x:v>
      </x:c>
    </x:row>
    <x:row r="101">
      <x:c r="A101" s="15" t="n">
        <x:v>100</x:v>
      </x:c>
      <x:c r="B101" s="15" t="str">
        <x:v>HS209180</x:v>
      </x:c>
      <x:c r="C101" s="15" t="str">
        <x:v>Hòa Lạc</x:v>
      </x:c>
      <x:c r="D101" s="15" t="str">
        <x:v>Phòng khép kín</x:v>
      </x:c>
      <x:c r="E101" s="47" t="n">
        <x:v>5.8</x:v>
      </x:c>
      <x:c r="F101" s="47" t="n">
        <x:v>1.7</x:v>
      </x:c>
      <x:c r="G101" s="53" t="n">
        <x:f>E101-'UocLuongOLS'!$B$6</x:f>
        <x:v>1.5031496062992122</x:v>
      </x:c>
      <x:c r="H101" s="53" t="n">
        <x:f>F101-'UocLuongOLS'!$B$7</x:f>
        <x:v>-0.3795275590551188</x:v>
      </x:c>
      <x:c r="I101" s="53" t="n">
        <x:f>G101*H101</x:f>
        <x:v>-0.5704867009734028</x:v>
      </x:c>
      <x:c r="J101" s="53" t="n">
        <x:f>G101^2</x:f>
        <x:v>2.259458738917477</x:v>
      </x:c>
      <x:c r="K101" s="53" t="n">
        <x:f>'UocLuongOLS'!$B$14+'UocLuongOLS'!$B$13*E101</x:f>
        <x:v>1.8159508396316806</x:v>
      </x:c>
      <x:c r="L101" s="53" t="n">
        <x:f>F101-K101</x:f>
        <x:v>-0.11595083963168062</x:v>
      </x:c>
      <x:c r="M101" s="53" t="n">
        <x:f>L101^2</x:f>
        <x:v>0.013444597211291718</x:v>
      </x:c>
      <x:c r="N101" s="53" t="n">
        <x:f>H101^2</x:f>
        <x:v>0.1440411680823367</x:v>
      </x:c>
    </x:row>
    <x:row r="102">
      <x:c r="A102" s="15" t="n">
        <x:v>101</x:v>
      </x:c>
      <x:c r="B102" s="15" t="str">
        <x:v>HC198605</x:v>
      </x:c>
      <x:c r="C102" s="15" t="str">
        <x:v>Hòa Lạc</x:v>
      </x:c>
      <x:c r="D102" s="15" t="str">
        <x:v>Phòng khép kín</x:v>
      </x:c>
      <x:c r="E102" s="47" t="n">
        <x:v>5.9</x:v>
      </x:c>
      <x:c r="F102" s="47" t="n">
        <x:v>1.7</x:v>
      </x:c>
      <x:c r="G102" s="53" t="n">
        <x:f>E102-'UocLuongOLS'!$B$6</x:f>
        <x:v>1.6031496062992128</x:v>
      </x:c>
      <x:c r="H102" s="53" t="n">
        <x:f>F102-'UocLuongOLS'!$B$7</x:f>
        <x:v>-0.3795275590551188</x:v>
      </x:c>
      <x:c r="I102" s="53" t="n">
        <x:f>G102*H102</x:f>
        <x:v>-0.608439456878915</x:v>
      </x:c>
      <x:c r="J102" s="53" t="n">
        <x:f>G102^2</x:f>
        <x:v>2.570088660177321</x:v>
      </x:c>
      <x:c r="K102" s="53" t="n">
        <x:f>'UocLuongOLS'!$B$14+'UocLuongOLS'!$B$13*E102</x:f>
        <x:v>1.798415877155632</x:v>
      </x:c>
      <x:c r="L102" s="53" t="n">
        <x:f>F102-K102</x:f>
        <x:v>-0.09841587715563205</x:v>
      </x:c>
      <x:c r="M102" s="53" t="n">
        <x:f>L102^2</x:f>
        <x:v>0.009685684876312458</x:v>
      </x:c>
      <x:c r="N102" s="53" t="n">
        <x:f>H102^2</x:f>
        <x:v>0.1440411680823367</x:v>
      </x:c>
    </x:row>
    <x:row r="103">
      <x:c r="A103" s="15" t="n">
        <x:v>102</x:v>
      </x:c>
      <x:c r="B103" s="15" t="str">
        <x:v>HE192182</x:v>
      </x:c>
      <x:c r="C103" s="15" t="str">
        <x:v>Hòa Lạc</x:v>
      </x:c>
      <x:c r="D103" s="15" t="str">
        <x:v>Phòng khép kín</x:v>
      </x:c>
      <x:c r="E103" s="47" t="n">
        <x:v>6</x:v>
      </x:c>
      <x:c r="F103" s="47" t="n">
        <x:v>1.9</x:v>
      </x:c>
      <x:c r="G103" s="53" t="n">
        <x:f>E103-'UocLuongOLS'!$B$6</x:f>
        <x:v>1.7031496062992124</x:v>
      </x:c>
      <x:c r="H103" s="53" t="n">
        <x:f>F103-'UocLuongOLS'!$B$7</x:f>
        <x:v>-0.17952755905511886</x:v>
      </x:c>
      <x:c r="I103" s="53" t="n">
        <x:f>G103*H103</x:f>
        <x:v>-0.3057622915245843</x:v>
      </x:c>
      <x:c r="J103" s="53" t="n">
        <x:f>G103^2</x:f>
        <x:v>2.9007185814371623</x:v>
      </x:c>
      <x:c r="K103" s="53" t="n">
        <x:f>'UocLuongOLS'!$B$14+'UocLuongOLS'!$B$13*E103</x:f>
        <x:v>1.7808809146795834</x:v>
      </x:c>
      <x:c r="L103" s="53" t="n">
        <x:f>F103-K103</x:f>
        <x:v>0.11911908532041648</x:v>
      </x:c>
      <x:c r="M103" s="53" t="n">
        <x:f>L103^2</x:f>
        <x:v>0.014189356487572661</x:v>
      </x:c>
      <x:c r="N103" s="53" t="n">
        <x:f>H103^2</x:f>
        <x:v>0.03223014446028919</x:v>
      </x:c>
    </x:row>
    <x:row r="104">
      <x:c r="A104" s="15" t="n">
        <x:v>103</x:v>
      </x:c>
      <x:c r="B104" s="15" t="str">
        <x:v>HE180117</x:v>
      </x:c>
      <x:c r="C104" s="15" t="str">
        <x:v>Hòa Lạc</x:v>
      </x:c>
      <x:c r="D104" s="15" t="str">
        <x:v>Phòng khép kín</x:v>
      </x:c>
      <x:c r="E104" s="47" t="n">
        <x:v>6</x:v>
      </x:c>
      <x:c r="F104" s="47" t="n">
        <x:v>1.9</x:v>
      </x:c>
      <x:c r="G104" s="53" t="n">
        <x:f>E104-'UocLuongOLS'!$B$6</x:f>
        <x:v>1.7031496062992124</x:v>
      </x:c>
      <x:c r="H104" s="53" t="n">
        <x:f>F104-'UocLuongOLS'!$B$7</x:f>
        <x:v>-0.17952755905511886</x:v>
      </x:c>
      <x:c r="I104" s="53" t="n">
        <x:f>G104*H104</x:f>
        <x:v>-0.3057622915245843</x:v>
      </x:c>
      <x:c r="J104" s="53" t="n">
        <x:f>G104^2</x:f>
        <x:v>2.9007185814371623</x:v>
      </x:c>
      <x:c r="K104" s="53" t="n">
        <x:f>'UocLuongOLS'!$B$14+'UocLuongOLS'!$B$13*E104</x:f>
        <x:v>1.7808809146795834</x:v>
      </x:c>
      <x:c r="L104" s="53" t="n">
        <x:f>F104-K104</x:f>
        <x:v>0.11911908532041648</x:v>
      </x:c>
      <x:c r="M104" s="53" t="n">
        <x:f>L104^2</x:f>
        <x:v>0.014189356487572661</x:v>
      </x:c>
      <x:c r="N104" s="53" t="n">
        <x:f>H104^2</x:f>
        <x:v>0.03223014446028919</x:v>
      </x:c>
    </x:row>
    <x:row r="105">
      <x:c r="A105" s="15" t="n">
        <x:v>104</x:v>
      </x:c>
      <x:c r="B105" s="15" t="str">
        <x:v>HC191272</x:v>
      </x:c>
      <x:c r="C105" s="15" t="str">
        <x:v>Hòa Lạc</x:v>
      </x:c>
      <x:c r="D105" s="15" t="str">
        <x:v>Phòng khép kín</x:v>
      </x:c>
      <x:c r="E105" s="47" t="n">
        <x:v>6.1</x:v>
      </x:c>
      <x:c r="F105" s="47" t="n">
        <x:v>1.7</x:v>
      </x:c>
      <x:c r="G105" s="53" t="n">
        <x:f>E105-'UocLuongOLS'!$B$6</x:f>
        <x:v>1.803149606299212</x:v>
      </x:c>
      <x:c r="H105" s="53" t="n">
        <x:f>F105-'UocLuongOLS'!$B$7</x:f>
        <x:v>-0.3795275590551188</x:v>
      </x:c>
      <x:c r="I105" s="53" t="n">
        <x:f>G105*H105</x:f>
        <x:v>-0.6843449686899384</x:v>
      </x:c>
      <x:c r="J105" s="53" t="n">
        <x:f>G105^2</x:f>
        <x:v>3.2513485026970033</x:v>
      </x:c>
      <x:c r="K105" s="53" t="n">
        <x:f>'UocLuongOLS'!$B$14+'UocLuongOLS'!$B$13*E105</x:f>
        <x:v>1.763345952203535</x:v>
      </x:c>
      <x:c r="L105" s="53" t="n">
        <x:f>F105-K105</x:f>
        <x:v>-0.06334595220353512</x:v>
      </x:c>
      <x:c r="M105" s="53" t="n">
        <x:f>L105^2</x:f>
        <x:v>0.004012709660572556</x:v>
      </x:c>
      <x:c r="N105" s="53" t="n">
        <x:f>H105^2</x:f>
        <x:v>0.1440411680823367</x:v>
      </x:c>
    </x:row>
    <x:row r="106">
      <x:c r="A106" s="15" t="n">
        <x:v>105</x:v>
      </x:c>
      <x:c r="B106" s="15" t="str">
        <x:v>HE195992</x:v>
      </x:c>
      <x:c r="C106" s="15" t="str">
        <x:v>Hòa Lạc</x:v>
      </x:c>
      <x:c r="D106" s="15" t="str">
        <x:v>Phòng khép kín</x:v>
      </x:c>
      <x:c r="E106" s="47" t="n">
        <x:v>6.2</x:v>
      </x:c>
      <x:c r="F106" s="47" t="n">
        <x:v>1.8</x:v>
      </x:c>
      <x:c r="G106" s="53" t="n">
        <x:f>E106-'UocLuongOLS'!$B$6</x:f>
        <x:v>1.9031496062992126</x:v>
      </x:c>
      <x:c r="H106" s="53" t="n">
        <x:f>F106-'UocLuongOLS'!$B$7</x:f>
        <x:v>-0.2795275590551187</x:v>
      </x:c>
      <x:c r="I106" s="53" t="n">
        <x:f>G106*H106</x:f>
        <x:v>-0.5319827639655291</x:v>
      </x:c>
      <x:c r="J106" s="53" t="n">
        <x:f>G106^2</x:f>
        <x:v>3.6219784239568478</x:v>
      </x:c>
      <x:c r="K106" s="53" t="n">
        <x:f>'UocLuongOLS'!$B$14+'UocLuongOLS'!$B$13*E106</x:f>
        <x:v>1.7458109897274863</x:v>
      </x:c>
      <x:c r="L106" s="53" t="n">
        <x:f>F106-K106</x:f>
        <x:v>0.05418901027251377</x:v>
      </x:c>
      <x:c r="M106" s="53" t="n">
        <x:f>L106^2</x:f>
        <x:v>0.002936448834314603</x:v>
      </x:c>
      <x:c r="N106" s="53" t="n">
        <x:f>H106^2</x:f>
        <x:v>0.07813565627131289</x:v>
      </x:c>
    </x:row>
    <x:row r="107">
      <x:c r="A107" s="15" t="n">
        <x:v>106</x:v>
      </x:c>
      <x:c r="B107" s="15" t="str">
        <x:v>HC207439</x:v>
      </x:c>
      <x:c r="C107" s="15" t="str">
        <x:v>Hòa Lạc</x:v>
      </x:c>
      <x:c r="D107" s="15" t="str">
        <x:v>Phòng khép kín</x:v>
      </x:c>
      <x:c r="E107" s="47" t="n">
        <x:v>6.3</x:v>
      </x:c>
      <x:c r="F107" s="47" t="n">
        <x:v>1.5</x:v>
      </x:c>
      <x:c r="G107" s="53" t="n">
        <x:f>E107-'UocLuongOLS'!$B$6</x:f>
        <x:v>2.0031496062992122</x:v>
      </x:c>
      <x:c r="H107" s="53" t="n">
        <x:f>F107-'UocLuongOLS'!$B$7</x:f>
        <x:v>-0.5795275590551188</x:v>
      </x:c>
      <x:c r="I107" s="53" t="n">
        <x:f>G107*H107</x:f>
        <x:v>-1.1608804017608045</x:v>
      </x:c>
      <x:c r="J107" s="53" t="n">
        <x:f>G107^2</x:f>
        <x:v>4.012608345216689</x:v>
      </x:c>
      <x:c r="K107" s="53" t="n">
        <x:f>'UocLuongOLS'!$B$14+'UocLuongOLS'!$B$13*E107</x:f>
        <x:v>1.728276027251438</x:v>
      </x:c>
      <x:c r="L107" s="53" t="n">
        <x:f>F107-K107</x:f>
        <x:v>-0.22827602725143792</x:v>
      </x:c>
      <x:c r="M107" s="53" t="n">
        <x:f>L107^2</x:f>
        <x:v>0.05210994461769923</x:v>
      </x:c>
      <x:c r="N107" s="53" t="n">
        <x:f>H107^2</x:f>
        <x:v>0.3358521917043842</x:v>
      </x:c>
    </x:row>
    <x:row r="108">
      <x:c r="A108" s="15" t="n">
        <x:v>107</x:v>
      </x:c>
      <x:c r="B108" s="15" t="str">
        <x:v>HE214000</x:v>
      </x:c>
      <x:c r="C108" s="15" t="str">
        <x:v>Hòa Lạc</x:v>
      </x:c>
      <x:c r="D108" s="15" t="str">
        <x:v>Phòng khép kín</x:v>
      </x:c>
      <x:c r="E108" s="47" t="n">
        <x:v>6.4</x:v>
      </x:c>
      <x:c r="F108" s="47" t="n">
        <x:v>1.7</x:v>
      </x:c>
      <x:c r="G108" s="53" t="n">
        <x:f>E108-'UocLuongOLS'!$B$6</x:f>
        <x:v>2.1031496062992128</x:v>
      </x:c>
      <x:c r="H108" s="53" t="n">
        <x:f>F108-'UocLuongOLS'!$B$7</x:f>
        <x:v>-0.3795275590551188</x:v>
      </x:c>
      <x:c r="I108" s="53" t="n">
        <x:f>G108*H108</x:f>
        <x:v>-0.7982032364064744</x:v>
      </x:c>
      <x:c r="J108" s="53" t="n">
        <x:f>G108^2</x:f>
        <x:v>4.423238266476534</x:v>
      </x:c>
      <x:c r="K108" s="53" t="n">
        <x:f>'UocLuongOLS'!$B$14+'UocLuongOLS'!$B$13*E108</x:f>
        <x:v>1.7107410647753893</x:v>
      </x:c>
      <x:c r="L108" s="53" t="n">
        <x:f>F108-K108</x:f>
        <x:v>-0.010741064775389386</x:v>
      </x:c>
      <x:c r="M108" s="53" t="n">
        <x:f>L108^2</x:f>
        <x:v>0.00011537047250911064</x:v>
      </x:c>
      <x:c r="N108" s="53" t="n">
        <x:f>H108^2</x:f>
        <x:v>0.1440411680823367</x:v>
      </x:c>
    </x:row>
    <x:row r="109">
      <x:c r="A109" s="15" t="n">
        <x:v>108</x:v>
      </x:c>
      <x:c r="B109" s="15" t="str">
        <x:v>HE199265</x:v>
      </x:c>
      <x:c r="C109" s="15" t="str">
        <x:v>Hòa Lạc</x:v>
      </x:c>
      <x:c r="D109" s="15" t="str">
        <x:v>Phòng khép kín</x:v>
      </x:c>
      <x:c r="E109" s="47" t="n">
        <x:v>6.5</x:v>
      </x:c>
      <x:c r="F109" s="47" t="n">
        <x:v>1.7</x:v>
      </x:c>
      <x:c r="G109" s="53" t="n">
        <x:f>E109-'UocLuongOLS'!$B$6</x:f>
        <x:v>2.2031496062992124</x:v>
      </x:c>
      <x:c r="H109" s="53" t="n">
        <x:f>F109-'UocLuongOLS'!$B$7</x:f>
        <x:v>-0.3795275590551188</x:v>
      </x:c>
      <x:c r="I109" s="53" t="n">
        <x:f>G109*H109</x:f>
        <x:v>-0.8361559923119861</x:v>
      </x:c>
      <x:c r="J109" s="53" t="n">
        <x:f>G109^2</x:f>
        <x:v>4.853868187736374</x:v>
      </x:c>
      <x:c r="K109" s="53" t="n">
        <x:f>'UocLuongOLS'!$B$14+'UocLuongOLS'!$B$13*E109</x:f>
        <x:v>1.6932061022993408</x:v>
      </x:c>
      <x:c r="L109" s="53" t="n">
        <x:f>F109-K109</x:f>
        <x:v>0.0067938977006591905</x:v>
      </x:c>
      <x:c r="M109" s="53" t="n">
        <x:f>L109^2</x:f>
        <x:v>0.000046157045967022234</x:v>
      </x:c>
      <x:c r="N109" s="53" t="n">
        <x:f>H109^2</x:f>
        <x:v>0.1440411680823367</x:v>
      </x:c>
    </x:row>
    <x:row r="110">
      <x:c r="A110" s="15" t="n">
        <x:v>109</x:v>
      </x:c>
      <x:c r="B110" s="15" t="str">
        <x:v>HC196142</x:v>
      </x:c>
      <x:c r="C110" s="15" t="str">
        <x:v>Hòa Lạc</x:v>
      </x:c>
      <x:c r="D110" s="15" t="str">
        <x:v>Phòng khép kín</x:v>
      </x:c>
      <x:c r="E110" s="47" t="n">
        <x:v>6.6</x:v>
      </x:c>
      <x:c r="F110" s="47" t="n">
        <x:v>1.5</x:v>
      </x:c>
      <x:c r="G110" s="53" t="n">
        <x:f>E110-'UocLuongOLS'!$B$6</x:f>
        <x:v>2.303149606299212</x:v>
      </x:c>
      <x:c r="H110" s="53" t="n">
        <x:f>F110-'UocLuongOLS'!$B$7</x:f>
        <x:v>-0.5795275590551188</x:v>
      </x:c>
      <x:c r="I110" s="53" t="n">
        <x:f>G110*H110</x:f>
        <x:v>-1.3347386694773402</x:v>
      </x:c>
      <x:c r="J110" s="53" t="n">
        <x:f>G110^2</x:f>
        <x:v>5.304498108996215</x:v>
      </x:c>
      <x:c r="K110" s="53" t="n">
        <x:f>'UocLuongOLS'!$B$14+'UocLuongOLS'!$B$13*E110</x:f>
        <x:v>1.6756711398232922</x:v>
      </x:c>
      <x:c r="L110" s="53" t="n">
        <x:f>F110-K110</x:f>
        <x:v>-0.1756711398232922</x:v>
      </x:c>
      <x:c r="M110" s="53" t="n">
        <x:f>L110^2</x:f>
        <x:v>0.030860349366814675</x:v>
      </x:c>
      <x:c r="N110" s="53" t="n">
        <x:f>H110^2</x:f>
        <x:v>0.3358521917043842</x:v>
      </x:c>
    </x:row>
    <x:row r="111">
      <x:c r="A111" s="15" t="n">
        <x:v>110</x:v>
      </x:c>
      <x:c r="B111" s="15" t="str">
        <x:v>HC218975</x:v>
      </x:c>
      <x:c r="C111" s="15" t="str">
        <x:v>Hòa Lạc</x:v>
      </x:c>
      <x:c r="D111" s="15" t="str">
        <x:v>Phòng khép kín</x:v>
      </x:c>
      <x:c r="E111" s="47" t="n">
        <x:v>6.8</x:v>
      </x:c>
      <x:c r="F111" s="47" t="n">
        <x:v>1.6</x:v>
      </x:c>
      <x:c r="G111" s="53" t="n">
        <x:f>E111-'UocLuongOLS'!$B$6</x:f>
        <x:v>2.5031496062992122</x:v>
      </x:c>
      <x:c r="H111" s="53" t="n">
        <x:f>F111-'UocLuongOLS'!$B$7</x:f>
        <x:v>-0.4795275590551187</x:v>
      </x:c>
      <x:c r="I111" s="53" t="n">
        <x:f>G111*H111</x:f>
        <x:v>-1.2003292206584426</x:v>
      </x:c>
      <x:c r="J111" s="53" t="n">
        <x:f>G111^2</x:f>
        <x:v>6.265757951515901</x:v>
      </x:c>
      <x:c r="K111" s="53" t="n">
        <x:f>'UocLuongOLS'!$B$14+'UocLuongOLS'!$B$13*E111</x:f>
        <x:v>1.640601214871195</x:v>
      </x:c>
      <x:c r="L111" s="53" t="n">
        <x:f>F111-K111</x:f>
        <x:v>-0.040601214871194946</x:v>
      </x:c>
      <x:c r="M111" s="53" t="n">
        <x:f>L111^2</x:f>
        <x:v>0.0016484586490169417</x:v>
      </x:c>
      <x:c r="N111" s="53" t="n">
        <x:f>H111^2</x:f>
        <x:v>0.22994667989336035</x:v>
      </x:c>
    </x:row>
    <x:row r="112">
      <x:c r="A112" s="15" t="n">
        <x:v>111</x:v>
      </x:c>
      <x:c r="B112" s="15" t="str">
        <x:v>HC213884</x:v>
      </x:c>
      <x:c r="C112" s="15" t="str">
        <x:v>Hòa Lạc</x:v>
      </x:c>
      <x:c r="D112" s="15" t="str">
        <x:v>Phòng khép kín</x:v>
      </x:c>
      <x:c r="E112" s="47" t="n">
        <x:v>6.8</x:v>
      </x:c>
      <x:c r="F112" s="47" t="n">
        <x:v>1.6</x:v>
      </x:c>
      <x:c r="G112" s="53" t="n">
        <x:f>E112-'UocLuongOLS'!$B$6</x:f>
        <x:v>2.5031496062992122</x:v>
      </x:c>
      <x:c r="H112" s="53" t="n">
        <x:f>F112-'UocLuongOLS'!$B$7</x:f>
        <x:v>-0.4795275590551187</x:v>
      </x:c>
      <x:c r="I112" s="53" t="n">
        <x:f>G112*H112</x:f>
        <x:v>-1.2003292206584426</x:v>
      </x:c>
      <x:c r="J112" s="53" t="n">
        <x:f>G112^2</x:f>
        <x:v>6.265757951515901</x:v>
      </x:c>
      <x:c r="K112" s="53" t="n">
        <x:f>'UocLuongOLS'!$B$14+'UocLuongOLS'!$B$13*E112</x:f>
        <x:v>1.640601214871195</x:v>
      </x:c>
      <x:c r="L112" s="53" t="n">
        <x:f>F112-K112</x:f>
        <x:v>-0.040601214871194946</x:v>
      </x:c>
      <x:c r="M112" s="53" t="n">
        <x:f>L112^2</x:f>
        <x:v>0.0016484586490169417</x:v>
      </x:c>
      <x:c r="N112" s="53" t="n">
        <x:f>H112^2</x:f>
        <x:v>0.22994667989336035</x:v>
      </x:c>
    </x:row>
    <x:row r="113">
      <x:c r="A113" s="15" t="n">
        <x:v>112</x:v>
      </x:c>
      <x:c r="B113" s="15" t="str">
        <x:v>HS213758</x:v>
      </x:c>
      <x:c r="C113" s="15" t="str">
        <x:v>Hòa Lạc</x:v>
      </x:c>
      <x:c r="D113" s="15" t="str">
        <x:v>Phòng khép kín</x:v>
      </x:c>
      <x:c r="E113" s="47" t="n">
        <x:v>6.9</x:v>
      </x:c>
      <x:c r="F113" s="47" t="n">
        <x:v>1.5</x:v>
      </x:c>
      <x:c r="G113" s="53" t="n">
        <x:f>E113-'UocLuongOLS'!$B$6</x:f>
        <x:v>2.6031496062992128</x:v>
      </x:c>
      <x:c r="H113" s="53" t="n">
        <x:f>F113-'UocLuongOLS'!$B$7</x:f>
        <x:v>-0.5795275590551188</x:v>
      </x:c>
      <x:c r="I113" s="53" t="n">
        <x:f>G113*H113</x:f>
        <x:v>-1.508596937193876</x:v>
      </x:c>
      <x:c r="J113" s="53" t="n">
        <x:f>G113^2</x:f>
        <x:v>6.7763878727757465</x:v>
      </x:c>
      <x:c r="K113" s="53" t="n">
        <x:f>'UocLuongOLS'!$B$14+'UocLuongOLS'!$B$13*E113</x:f>
        <x:v>1.6230662523951465</x:v>
      </x:c>
      <x:c r="L113" s="53" t="n">
        <x:f>F113-K113</x:f>
        <x:v>-0.12306625239514646</x:v>
      </x:c>
      <x:c r="M113" s="53" t="n">
        <x:f>L113^2</x:f>
        <x:v>0.01514530247858589</x:v>
      </x:c>
      <x:c r="N113" s="53" t="n">
        <x:f>H113^2</x:f>
        <x:v>0.3358521917043842</x:v>
      </x:c>
    </x:row>
    <x:row r="114">
      <x:c r="A114" s="15" t="n">
        <x:v>113</x:v>
      </x:c>
      <x:c r="B114" s="15" t="str">
        <x:v>HC203518</x:v>
      </x:c>
      <x:c r="C114" s="15" t="str">
        <x:v>Hòa Lạc</x:v>
      </x:c>
      <x:c r="D114" s="15" t="str">
        <x:v>Phòng khép kín</x:v>
      </x:c>
      <x:c r="E114" s="47" t="n">
        <x:v>7</x:v>
      </x:c>
      <x:c r="F114" s="47" t="n">
        <x:v>1.5</x:v>
      </x:c>
      <x:c r="G114" s="53" t="n">
        <x:f>E114-'UocLuongOLS'!$B$6</x:f>
        <x:v>2.7031496062992124</x:v>
      </x:c>
      <x:c r="H114" s="53" t="n">
        <x:f>F114-'UocLuongOLS'!$B$7</x:f>
        <x:v>-0.5795275590551188</x:v>
      </x:c>
      <x:c r="I114" s="53" t="n">
        <x:f>G114*H114</x:f>
        <x:v>-1.5665496930993879</x:v>
      </x:c>
      <x:c r="J114" s="53" t="n">
        <x:f>G114^2</x:f>
        <x:v>7.307017794035587</x:v>
      </x:c>
      <x:c r="K114" s="53" t="n">
        <x:f>'UocLuongOLS'!$B$14+'UocLuongOLS'!$B$13*E114</x:f>
        <x:v>1.605531289919098</x:v>
      </x:c>
      <x:c r="L114" s="53" t="n">
        <x:f>F114-K114</x:f>
        <x:v>-0.1055312899190981</x:v>
      </x:c>
      <x:c r="M114" s="53" t="n">
        <x:f>L114^2</x:f>
        <x:v>0.011136853151988736</x:v>
      </x:c>
      <x:c r="N114" s="53" t="n">
        <x:f>H114^2</x:f>
        <x:v>0.3358521917043842</x:v>
      </x:c>
    </x:row>
    <x:row r="115">
      <x:c r="A115" s="15" t="n">
        <x:v>114</x:v>
      </x:c>
      <x:c r="B115" s="15" t="str">
        <x:v>HC219113</x:v>
      </x:c>
      <x:c r="C115" s="15" t="str">
        <x:v>Hòa Lạc</x:v>
      </x:c>
      <x:c r="D115" s="15" t="str">
        <x:v>Phòng khép kín</x:v>
      </x:c>
      <x:c r="E115" s="47" t="n">
        <x:v>7</x:v>
      </x:c>
      <x:c r="F115" s="47" t="n">
        <x:v>1.5</x:v>
      </x:c>
      <x:c r="G115" s="53" t="n">
        <x:f>E115-'UocLuongOLS'!$B$6</x:f>
        <x:v>2.7031496062992124</x:v>
      </x:c>
      <x:c r="H115" s="53" t="n">
        <x:f>F115-'UocLuongOLS'!$B$7</x:f>
        <x:v>-0.5795275590551188</x:v>
      </x:c>
      <x:c r="I115" s="53" t="n">
        <x:f>G115*H115</x:f>
        <x:v>-1.5665496930993879</x:v>
      </x:c>
      <x:c r="J115" s="53" t="n">
        <x:f>G115^2</x:f>
        <x:v>7.307017794035587</x:v>
      </x:c>
      <x:c r="K115" s="53" t="n">
        <x:f>'UocLuongOLS'!$B$14+'UocLuongOLS'!$B$13*E115</x:f>
        <x:v>1.605531289919098</x:v>
      </x:c>
      <x:c r="L115" s="53" t="n">
        <x:f>F115-K115</x:f>
        <x:v>-0.1055312899190981</x:v>
      </x:c>
      <x:c r="M115" s="53" t="n">
        <x:f>L115^2</x:f>
        <x:v>0.011136853151988736</x:v>
      </x:c>
      <x:c r="N115" s="53" t="n">
        <x:f>H115^2</x:f>
        <x:v>0.3358521917043842</x:v>
      </x:c>
    </x:row>
    <x:row r="116">
      <x:c r="A116" s="15" t="n">
        <x:v>115</x:v>
      </x:c>
      <x:c r="B116" s="15" t="str">
        <x:v>HS199502</x:v>
      </x:c>
      <x:c r="C116" s="15" t="str">
        <x:v>Hòa Lạc</x:v>
      </x:c>
      <x:c r="D116" s="15" t="str">
        <x:v>Phòng khép kín</x:v>
      </x:c>
      <x:c r="E116" s="47" t="n">
        <x:v>7.1</x:v>
      </x:c>
      <x:c r="F116" s="47" t="n">
        <x:v>1.4</x:v>
      </x:c>
      <x:c r="G116" s="53" t="n">
        <x:f>E116-'UocLuongOLS'!$B$6</x:f>
        <x:v>2.803149606299212</x:v>
      </x:c>
      <x:c r="H116" s="53" t="n">
        <x:f>F116-'UocLuongOLS'!$B$7</x:f>
        <x:v>-0.6795275590551189</x:v>
      </x:c>
      <x:c r="I116" s="53" t="n">
        <x:f>G116*H116</x:f>
        <x:v>-1.904817409634821</x:v>
      </x:c>
      <x:c r="J116" s="53" t="n">
        <x:f>G116^2</x:f>
        <x:v>7.857647715295427</x:v>
      </x:c>
      <x:c r="K116" s="53" t="n">
        <x:f>'UocLuongOLS'!$B$14+'UocLuongOLS'!$B$13*E116</x:f>
        <x:v>1.5879963274430495</x:v>
      </x:c>
      <x:c r="L116" s="53" t="n">
        <x:f>F116-K116</x:f>
        <x:v>-0.18799632744304962</x:v>
      </x:c>
      <x:c r="M116" s="53" t="n">
        <x:f>L116^2</x:f>
        <x:v>0.03534261913207433</x:v>
      </x:c>
      <x:c r="N116" s="53" t="n">
        <x:f>H116^2</x:f>
        <x:v>0.46175770351540807</x:v>
      </x:c>
    </x:row>
    <x:row r="117">
      <x:c r="A117" s="15" t="n">
        <x:v>116</x:v>
      </x:c>
      <x:c r="B117" s="15" t="str">
        <x:v>HS200572</x:v>
      </x:c>
      <x:c r="C117" s="15" t="str">
        <x:v>Hòa Lạc</x:v>
      </x:c>
      <x:c r="D117" s="15" t="str">
        <x:v>Phòng khép kín</x:v>
      </x:c>
      <x:c r="E117" s="47" t="n">
        <x:v>7.1</x:v>
      </x:c>
      <x:c r="F117" s="47" t="n">
        <x:v>1.4</x:v>
      </x:c>
      <x:c r="G117" s="53" t="n">
        <x:f>E117-'UocLuongOLS'!$B$6</x:f>
        <x:v>2.803149606299212</x:v>
      </x:c>
      <x:c r="H117" s="53" t="n">
        <x:f>F117-'UocLuongOLS'!$B$7</x:f>
        <x:v>-0.6795275590551189</x:v>
      </x:c>
      <x:c r="I117" s="53" t="n">
        <x:f>G117*H117</x:f>
        <x:v>-1.904817409634821</x:v>
      </x:c>
      <x:c r="J117" s="53" t="n">
        <x:f>G117^2</x:f>
        <x:v>7.857647715295427</x:v>
      </x:c>
      <x:c r="K117" s="53" t="n">
        <x:f>'UocLuongOLS'!$B$14+'UocLuongOLS'!$B$13*E117</x:f>
        <x:v>1.5879963274430495</x:v>
      </x:c>
      <x:c r="L117" s="53" t="n">
        <x:f>F117-K117</x:f>
        <x:v>-0.18799632744304962</x:v>
      </x:c>
      <x:c r="M117" s="53" t="n">
        <x:f>L117^2</x:f>
        <x:v>0.03534261913207433</x:v>
      </x:c>
      <x:c r="N117" s="53" t="n">
        <x:f>H117^2</x:f>
        <x:v>0.46175770351540807</x:v>
      </x:c>
    </x:row>
    <x:row r="118">
      <x:c r="A118" s="15" t="n">
        <x:v>117</x:v>
      </x:c>
      <x:c r="B118" s="15" t="str">
        <x:v>HA195147</x:v>
      </x:c>
      <x:c r="C118" s="15" t="str">
        <x:v>Hòa Lạc</x:v>
      </x:c>
      <x:c r="D118" s="15" t="str">
        <x:v>Phòng khép kín</x:v>
      </x:c>
      <x:c r="E118" s="47" t="n">
        <x:v>7.2</x:v>
      </x:c>
      <x:c r="F118" s="47" t="n">
        <x:v>1.4</x:v>
      </x:c>
      <x:c r="G118" s="53" t="n">
        <x:f>E118-'UocLuongOLS'!$B$6</x:f>
        <x:v>2.9031496062992126</x:v>
      </x:c>
      <x:c r="H118" s="53" t="n">
        <x:f>F118-'UocLuongOLS'!$B$7</x:f>
        <x:v>-0.6795275590551189</x:v>
      </x:c>
      <x:c r="I118" s="53" t="n">
        <x:f>G118*H118</x:f>
        <x:v>-1.9727701655403334</x:v>
      </x:c>
      <x:c r="J118" s="53" t="n">
        <x:f>G118^2</x:f>
        <x:v>8.428277636555274</x:v>
      </x:c>
      <x:c r="K118" s="53" t="n">
        <x:f>'UocLuongOLS'!$B$14+'UocLuongOLS'!$B$13*E118</x:f>
        <x:v>1.570461364967001</x:v>
      </x:c>
      <x:c r="L118" s="53" t="n">
        <x:f>F118-K118</x:f>
        <x:v>-0.17046136496700104</x:v>
      </x:c>
      <x:c r="M118" s="53" t="n">
        <x:f>L118^2</x:f>
        <x:v>0.02905707694641313</x:v>
      </x:c>
      <x:c r="N118" s="53" t="n">
        <x:f>H118^2</x:f>
        <x:v>0.46175770351540807</x:v>
      </x:c>
    </x:row>
    <x:row r="119">
      <x:c r="A119" s="15" t="n">
        <x:v>118</x:v>
      </x:c>
      <x:c r="B119" s="15" t="str">
        <x:v>HS200047</x:v>
      </x:c>
      <x:c r="C119" s="15" t="str">
        <x:v>Hòa Lạc</x:v>
      </x:c>
      <x:c r="D119" s="15" t="str">
        <x:v>Phòng khép kín</x:v>
      </x:c>
      <x:c r="E119" s="47" t="n">
        <x:v>7.4</x:v>
      </x:c>
      <x:c r="F119" s="47" t="n">
        <x:v>1.4</x:v>
      </x:c>
      <x:c r="G119" s="53" t="n">
        <x:f>E119-'UocLuongOLS'!$B$6</x:f>
        <x:v>3.1031496062992128</x:v>
      </x:c>
      <x:c r="H119" s="53" t="n">
        <x:f>F119-'UocLuongOLS'!$B$7</x:f>
        <x:v>-0.6795275590551189</x:v>
      </x:c>
      <x:c r="I119" s="53" t="n">
        <x:f>G119*H119</x:f>
        <x:v>-2.108675677351357</x:v>
      </x:c>
      <x:c r="J119" s="53" t="n">
        <x:f>G119^2</x:f>
        <x:v>9.629537479074958</x:v>
      </x:c>
      <x:c r="K119" s="53" t="n">
        <x:f>'UocLuongOLS'!$B$14+'UocLuongOLS'!$B$13*E119</x:f>
        <x:v>1.5353914400149038</x:v>
      </x:c>
      <x:c r="L119" s="53" t="n">
        <x:f>F119-K119</x:f>
        <x:v>-0.13539144001490389</x:v>
      </x:c>
      <x:c r="M119" s="53" t="n">
        <x:f>L119^2</x:f>
        <x:v>0.018330842029309315</x:v>
      </x:c>
      <x:c r="N119" s="53" t="n">
        <x:f>H119^2</x:f>
        <x:v>0.46175770351540807</x:v>
      </x:c>
    </x:row>
    <x:row r="120">
      <x:c r="A120" s="15" t="n">
        <x:v>119</x:v>
      </x:c>
      <x:c r="B120" s="15" t="str">
        <x:v>HS190813</x:v>
      </x:c>
      <x:c r="C120" s="15" t="str">
        <x:v>Hòa Lạc</x:v>
      </x:c>
      <x:c r="D120" s="15" t="str">
        <x:v>Phòng khép kín</x:v>
      </x:c>
      <x:c r="E120" s="47" t="n">
        <x:v>7.5</x:v>
      </x:c>
      <x:c r="F120" s="47" t="n">
        <x:v>1.5</x:v>
      </x:c>
      <x:c r="G120" s="53" t="n">
        <x:f>E120-'UocLuongOLS'!$B$6</x:f>
        <x:v>3.2031496062992124</x:v>
      </x:c>
      <x:c r="H120" s="53" t="n">
        <x:f>F120-'UocLuongOLS'!$B$7</x:f>
        <x:v>-0.5795275590551188</x:v>
      </x:c>
      <x:c r="I120" s="53" t="n">
        <x:f>G120*H120</x:f>
        <x:v>-1.8563134726269472</x:v>
      </x:c>
      <x:c r="J120" s="53" t="n">
        <x:f>G120^2</x:f>
        <x:v>10.2601674003348</x:v>
      </x:c>
      <x:c r="K120" s="53" t="n">
        <x:f>'UocLuongOLS'!$B$14+'UocLuongOLS'!$B$13*E120</x:f>
        <x:v>1.5178564775388552</x:v>
      </x:c>
      <x:c r="L120" s="53" t="n">
        <x:f>F120-K120</x:f>
        <x:v>-0.01785647753885522</x:v>
      </x:c>
      <x:c r="M120" s="53" t="n">
        <x:f>L120^2</x:f>
        <x:v>0.00031885379009564095</x:v>
      </x:c>
      <x:c r="N120" s="53" t="n">
        <x:f>H120^2</x:f>
        <x:v>0.3358521917043842</x:v>
      </x:c>
    </x:row>
    <x:row r="121">
      <x:c r="A121" s="15" t="n">
        <x:v>120</x:v>
      </x:c>
      <x:c r="B121" s="15" t="str">
        <x:v>HS181943</x:v>
      </x:c>
      <x:c r="C121" s="15" t="str">
        <x:v>Hòa Lạc</x:v>
      </x:c>
      <x:c r="D121" s="15" t="str">
        <x:v>Phòng khép kín</x:v>
      </x:c>
      <x:c r="E121" s="47" t="n">
        <x:v>7.5</x:v>
      </x:c>
      <x:c r="F121" s="47" t="n">
        <x:v>1.5</x:v>
      </x:c>
      <x:c r="G121" s="53" t="n">
        <x:f>E121-'UocLuongOLS'!$B$6</x:f>
        <x:v>3.2031496062992124</x:v>
      </x:c>
      <x:c r="H121" s="53" t="n">
        <x:f>F121-'UocLuongOLS'!$B$7</x:f>
        <x:v>-0.5795275590551188</x:v>
      </x:c>
      <x:c r="I121" s="53" t="n">
        <x:f>G121*H121</x:f>
        <x:v>-1.8563134726269472</x:v>
      </x:c>
      <x:c r="J121" s="53" t="n">
        <x:f>G121^2</x:f>
        <x:v>10.2601674003348</x:v>
      </x:c>
      <x:c r="K121" s="53" t="n">
        <x:f>'UocLuongOLS'!$B$14+'UocLuongOLS'!$B$13*E121</x:f>
        <x:v>1.5178564775388552</x:v>
      </x:c>
      <x:c r="L121" s="53" t="n">
        <x:f>F121-K121</x:f>
        <x:v>-0.01785647753885522</x:v>
      </x:c>
      <x:c r="M121" s="53" t="n">
        <x:f>L121^2</x:f>
        <x:v>0.00031885379009564095</x:v>
      </x:c>
      <x:c r="N121" s="53" t="n">
        <x:f>H121^2</x:f>
        <x:v>0.3358521917043842</x:v>
      </x:c>
    </x:row>
    <x:row r="122">
      <x:c r="A122" s="15" t="n">
        <x:v>121</x:v>
      </x:c>
      <x:c r="B122" s="15" t="str">
        <x:v>HE194718</x:v>
      </x:c>
      <x:c r="C122" s="15" t="str">
        <x:v>Hòa Lạc</x:v>
      </x:c>
      <x:c r="D122" s="15" t="str">
        <x:v>Phòng khép kín</x:v>
      </x:c>
      <x:c r="E122" s="47" t="n">
        <x:v>7.8</x:v>
      </x:c>
      <x:c r="F122" s="47" t="n">
        <x:v>1.5</x:v>
      </x:c>
      <x:c r="G122" s="53" t="n">
        <x:f>E122-'UocLuongOLS'!$B$6</x:f>
        <x:v>3.5031496062992122</x:v>
      </x:c>
      <x:c r="H122" s="53" t="n">
        <x:f>F122-'UocLuongOLS'!$B$7</x:f>
        <x:v>-0.5795275590551188</x:v>
      </x:c>
      <x:c r="I122" s="53" t="n">
        <x:f>G122*H122</x:f>
        <x:v>-2.0301717403434827</x:v>
      </x:c>
      <x:c r="J122" s="53" t="n">
        <x:f>G122^2</x:f>
        <x:v>12.272057164114326</x:v>
      </x:c>
      <x:c r="K122" s="53" t="n">
        <x:f>'UocLuongOLS'!$B$14+'UocLuongOLS'!$B$13*E122</x:f>
        <x:v>1.4652515901107097</x:v>
      </x:c>
      <x:c r="L122" s="53" t="n">
        <x:f>F122-K122</x:f>
        <x:v>0.03474840988929029</x:v>
      </x:c>
      <x:c r="M122" s="53" t="n">
        <x:f>L122^2</x:f>
        <x:v>0.001207451989834127</x:v>
      </x:c>
      <x:c r="N122" s="53" t="n">
        <x:f>H122^2</x:f>
        <x:v>0.3358521917043842</x:v>
      </x:c>
    </x:row>
    <x:row r="123">
      <x:c r="A123" s="15" t="n">
        <x:v>122</x:v>
      </x:c>
      <x:c r="B123" s="15" t="str">
        <x:v>HE184166</x:v>
      </x:c>
      <x:c r="C123" s="15" t="str">
        <x:v>Hòa Lạc</x:v>
      </x:c>
      <x:c r="D123" s="15" t="str">
        <x:v>Phòng khép kín</x:v>
      </x:c>
      <x:c r="E123" s="47" t="n">
        <x:v>7.8</x:v>
      </x:c>
      <x:c r="F123" s="47" t="n">
        <x:v>1.5</x:v>
      </x:c>
      <x:c r="G123" s="53" t="n">
        <x:f>E123-'UocLuongOLS'!$B$6</x:f>
        <x:v>3.5031496062992122</x:v>
      </x:c>
      <x:c r="H123" s="53" t="n">
        <x:f>F123-'UocLuongOLS'!$B$7</x:f>
        <x:v>-0.5795275590551188</x:v>
      </x:c>
      <x:c r="I123" s="53" t="n">
        <x:f>G123*H123</x:f>
        <x:v>-2.0301717403434827</x:v>
      </x:c>
      <x:c r="J123" s="53" t="n">
        <x:f>G123^2</x:f>
        <x:v>12.272057164114326</x:v>
      </x:c>
      <x:c r="K123" s="53" t="n">
        <x:f>'UocLuongOLS'!$B$14+'UocLuongOLS'!$B$13*E123</x:f>
        <x:v>1.4652515901107097</x:v>
      </x:c>
      <x:c r="L123" s="53" t="n">
        <x:f>F123-K123</x:f>
        <x:v>0.03474840988929029</x:v>
      </x:c>
      <x:c r="M123" s="53" t="n">
        <x:f>L123^2</x:f>
        <x:v>0.001207451989834127</x:v>
      </x:c>
      <x:c r="N123" s="53" t="n">
        <x:f>H123^2</x:f>
        <x:v>0.3358521917043842</x:v>
      </x:c>
    </x:row>
    <x:row r="124">
      <x:c r="A124" s="15" t="n">
        <x:v>123</x:v>
      </x:c>
      <x:c r="B124" s="15" t="str">
        <x:v>HC211907</x:v>
      </x:c>
      <x:c r="C124" s="15" t="str">
        <x:v>Hòa Lạc</x:v>
      </x:c>
      <x:c r="D124" s="15" t="str">
        <x:v>Phòng khép kín</x:v>
      </x:c>
      <x:c r="E124" s="47" t="n">
        <x:v>7.9</x:v>
      </x:c>
      <x:c r="F124" s="47" t="n">
        <x:v>1.3</x:v>
      </x:c>
      <x:c r="G124" s="53" t="n">
        <x:f>E124-'UocLuongOLS'!$B$6</x:f>
        <x:v>3.6031496062992128</x:v>
      </x:c>
      <x:c r="H124" s="53" t="n">
        <x:f>F124-'UocLuongOLS'!$B$7</x:f>
        <x:v>-0.7795275590551187</x:v>
      </x:c>
      <x:c r="I124" s="53" t="n">
        <x:f>G124*H124</x:f>
        <x:v>-2.8087544175088373</x:v>
      </x:c>
      <x:c r="J124" s="53" t="n">
        <x:f>G124^2</x:f>
        <x:v>12.982687085374172</x:v>
      </x:c>
      <x:c r="K124" s="53" t="n">
        <x:f>'UocLuongOLS'!$B$14+'UocLuongOLS'!$B$13*E124</x:f>
        <x:v>1.4477166276346611</x:v>
      </x:c>
      <x:c r="L124" s="53" t="n">
        <x:f>F124-K124</x:f>
        <x:v>-0.1477166276346611</x:v>
      </x:c>
      <x:c r="M124" s="53" t="n">
        <x:f>L124^2</x:f>
        <x:v>0.02182020207975712</x:v>
      </x:c>
      <x:c r="N124" s="53" t="n">
        <x:f>H124^2</x:f>
        <x:v>0.6076632153264316</x:v>
      </x:c>
    </x:row>
    <x:row r="125">
      <x:c r="A125" s="15" t="n">
        <x:v>124</x:v>
      </x:c>
      <x:c r="B125" s="15" t="str">
        <x:v>HC189029</x:v>
      </x:c>
      <x:c r="C125" s="15" t="str">
        <x:v>Hòa Lạc</x:v>
      </x:c>
      <x:c r="D125" s="15" t="str">
        <x:v>Phòng khép kín</x:v>
      </x:c>
      <x:c r="E125" s="47" t="n">
        <x:v>8</x:v>
      </x:c>
      <x:c r="F125" s="47" t="n">
        <x:v>1.4</x:v>
      </x:c>
      <x:c r="G125" s="53" t="n">
        <x:f>E125-'UocLuongOLS'!$B$6</x:f>
        <x:v>3.7031496062992124</x:v>
      </x:c>
      <x:c r="H125" s="53" t="n">
        <x:f>F125-'UocLuongOLS'!$B$7</x:f>
        <x:v>-0.6795275590551189</x:v>
      </x:c>
      <x:c r="I125" s="53" t="n">
        <x:f>G125*H125</x:f>
        <x:v>-2.516392212784428</x:v>
      </x:c>
      <x:c r="J125" s="53" t="n">
        <x:f>G125^2</x:f>
        <x:v>13.713317006634012</x:v>
      </x:c>
      <x:c r="K125" s="53" t="n">
        <x:f>'UocLuongOLS'!$B$14+'UocLuongOLS'!$B$13*E125</x:f>
        <x:v>1.4301816651586126</x:v>
      </x:c>
      <x:c r="L125" s="53" t="n">
        <x:f>F125-K125</x:f>
        <x:v>-0.030181665158612647</x:v>
      </x:c>
      <x:c r="M125" s="53" t="n">
        <x:f>L125^2</x:f>
        <x:v>0.0009109329117466126</x:v>
      </x:c>
      <x:c r="N125" s="53" t="n">
        <x:f>H125^2</x:f>
        <x:v>0.46175770351540807</x:v>
      </x:c>
    </x:row>
    <x:row r="126">
      <x:c r="A126" s="15" t="n">
        <x:v>125</x:v>
      </x:c>
      <x:c r="B126" s="15" t="str">
        <x:v>HS202491</x:v>
      </x:c>
      <x:c r="C126" s="15" t="str">
        <x:v>Hòa Lạc</x:v>
      </x:c>
      <x:c r="D126" s="15" t="str">
        <x:v>Phòng khép kín</x:v>
      </x:c>
      <x:c r="E126" s="47" t="n">
        <x:v>8.2</x:v>
      </x:c>
      <x:c r="F126" s="47" t="n">
        <x:v>1.3</x:v>
      </x:c>
      <x:c r="G126" s="53" t="n">
        <x:f>E126-'UocLuongOLS'!$B$6</x:f>
        <x:v>3.9031496062992117</x:v>
      </x:c>
      <x:c r="H126" s="53" t="n">
        <x:f>F126-'UocLuongOLS'!$B$7</x:f>
        <x:v>-0.7795275590551187</x:v>
      </x:c>
      <x:c r="I126" s="53" t="n">
        <x:f>G126*H126</x:f>
        <x:v>-3.042612685225372</x:v>
      </x:c>
      <x:c r="J126" s="53" t="n">
        <x:f>G126^2</x:f>
        <x:v>15.234576849153692</x:v>
      </x:c>
      <x:c r="K126" s="53" t="n">
        <x:f>'UocLuongOLS'!$B$14+'UocLuongOLS'!$B$13*E126</x:f>
        <x:v>1.3951117402065156</x:v>
      </x:c>
      <x:c r="L126" s="53" t="n">
        <x:f>F126-K126</x:f>
        <x:v>-0.09511174020651558</x:v>
      </x:c>
      <x:c r="M126" s="53" t="n">
        <x:f>L126^2</x:f>
        <x:v>0.009046243125111713</x:v>
      </x:c>
      <x:c r="N126" s="53" t="n">
        <x:f>H126^2</x:f>
        <x:v>0.6076632153264316</x:v>
      </x:c>
    </x:row>
    <x:row r="127">
      <x:c r="A127" s="15" t="n">
        <x:v>126</x:v>
      </x:c>
      <x:c r="B127" s="15" t="str">
        <x:v>HE189359</x:v>
      </x:c>
      <x:c r="C127" s="15" t="str">
        <x:v>Hòa Lạc</x:v>
      </x:c>
      <x:c r="D127" s="15" t="str">
        <x:v>Phòng khép kín</x:v>
      </x:c>
      <x:c r="E127" s="47" t="n">
        <x:v>8.5</x:v>
      </x:c>
      <x:c r="F127" s="47" t="n">
        <x:v>1.2</x:v>
      </x:c>
      <x:c r="G127" s="53" t="n">
        <x:f>E127-'UocLuongOLS'!$B$6</x:f>
        <x:v>4.203149606299212</x:v>
      </x:c>
      <x:c r="H127" s="53" t="n">
        <x:f>F127-'UocLuongOLS'!$B$7</x:f>
        <x:v>-0.8795275590551188</x:v>
      </x:c>
      <x:c r="I127" s="53" t="n">
        <x:f>G127*H127</x:f>
        <x:v>-3.69678591357183</x:v>
      </x:c>
      <x:c r="J127" s="53" t="n">
        <x:f>G127^2</x:f>
        <x:v>17.666466612933224</x:v>
      </x:c>
      <x:c r="K127" s="53" t="n">
        <x:f>'UocLuongOLS'!$B$14+'UocLuongOLS'!$B$13*E127</x:f>
        <x:v>1.34250685277837</x:v>
      </x:c>
      <x:c r="L127" s="53" t="n">
        <x:f>F127-K127</x:f>
        <x:v>-0.14250685277836994</x:v>
      </x:c>
      <x:c r="M127" s="53" t="n">
        <x:f>L127^2</x:f>
        <x:v>0.020308203088796006</x:v>
      </x:c>
      <x:c r="N127" s="53" t="n">
        <x:f>H127^2</x:f>
        <x:v>0.7735687271374555</x:v>
      </x:c>
    </x:row>
    <x:row r="128">
      <x:c r="A128" s="16" t="n">
        <x:v>127</x:v>
      </x:c>
      <x:c r="B128" s="16" t="str">
        <x:v>HS219647</x:v>
      </x:c>
      <x:c r="C128" s="16" t="str">
        <x:v>Hòa Lạc</x:v>
      </x:c>
      <x:c r="D128" s="16" t="str">
        <x:v>Phòng khép kín</x:v>
      </x:c>
      <x:c r="E128" s="48" t="n">
        <x:v>8.7</x:v>
      </x:c>
      <x:c r="F128" s="48" t="n">
        <x:v>1.4</x:v>
      </x:c>
      <x:c r="G128" s="54" t="n">
        <x:f>E128-'UocLuongOLS'!$B$6</x:f>
        <x:v>4.403149606299212</x:v>
      </x:c>
      <x:c r="H128" s="54" t="n">
        <x:f>F128-'UocLuongOLS'!$B$7</x:f>
        <x:v>-0.6795275590551189</x:v>
      </x:c>
      <x:c r="I128" s="54" t="n">
        <x:f>G128*H128</x:f>
        <x:v>-2.992061504123011</x:v>
      </x:c>
      <x:c r="J128" s="54" t="n">
        <x:f>G128^2</x:f>
        <x:v>19.387726455452903</x:v>
      </x:c>
      <x:c r="K128" s="54" t="n">
        <x:f>'UocLuongOLS'!$B$14+'UocLuongOLS'!$B$13*E128</x:f>
        <x:v>1.307436927826273</x:v>
      </x:c>
      <x:c r="L128" s="54" t="n">
        <x:f>F128-K128</x:f>
        <x:v>0.09256307217372695</x:v>
      </x:c>
      <x:c r="M128" s="54" t="n">
        <x:f>L128^2</x:f>
        <x:v>0.008567922330238583</x:v>
      </x:c>
      <x:c r="N128" s="54" t="n">
        <x:f>H128^2</x:f>
        <x:v>0.46175770351540807</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9" hidden="0" customWidth="1"/>
    <x:col min="2" max="2" width="17" hidden="0" customWidth="1"/>
    <x:col min="3" max="3" width="34" hidden="0" customWidth="1"/>
    <x:col min="4" max="4" width="48" hidden="0" customWidth="1"/>
    <x:col min="5" max="5" width="3" hidden="0" customWidth="1"/>
    <x:col min="6" max="6" width="3" hidden="0" customWidth="1"/>
  </x:cols>
  <x:sheetData>
    <x:row r="1" ht="34" customHeight="1">
      <x:c r="A1" s="64" t="str">
        <x:v>ƯỚC LƯỢNG HỒI QUY TUYẾN TÍNH ĐƠN BẰNG OLS</x:v>
      </x:c>
      <x:c r="B1" s="64" t="str">
        <x:v>ƯỚC LƯỢNG HỒI QUY TUYẾN TÍNH ĐƠN BẰNG OLS</x:v>
      </x:c>
      <x:c r="C1" s="64" t="str">
        <x:v>ƯỚC LƯỢNG HỒI QUY TUYẾN TÍNH ĐƠN BẰNG OLS</x:v>
      </x:c>
      <x:c r="D1" s="64" t="str">
        <x:v>ƯỚC LƯỢNG HỒI QUY TUYẾN TÍNH ĐƠN BẰNG OLS</x:v>
      </x:c>
      <x:c r="E1" s="64" t="str">
        <x:v>ƯỚC LƯỢNG HỒI QUY TUYẾN TÍNH ĐƠN BẰNG OLS</x:v>
      </x:c>
      <x:c r="F1" s="64" t="str">
        <x:v>ƯỚC LƯỢNG HỒI QUY TUYẾN TÍNH ĐƠN BẰNG OLS</x:v>
      </x:c>
    </x:row>
    <x:row r="3" ht="24" customHeight="1">
      <x:c r="A3" s="68" t="str">
        <x:v>1. Đại lượng nền tảng</x:v>
      </x:c>
      <x:c r="B3" s="68" t="str">
        <x:v>1. Đại lượng nền tảng</x:v>
      </x:c>
      <x:c r="C3" s="68" t="str">
        <x:v>1. Đại lượng nền tảng</x:v>
      </x:c>
      <x:c r="D3" s="68" t="str">
        <x:v>1. Đại lượng nền tảng</x:v>
      </x:c>
      <x:c r="E3" s="68" t="str">
        <x:v>1. Đại lượng nền tảng</x:v>
      </x:c>
      <x:c r="F3" s="68" t="str">
        <x:v>1. Đại lượng nền tảng</x:v>
      </x:c>
    </x:row>
    <x:row r="4">
      <x:c r="A4" s="42" t="str">
        <x:v>Ký hiệu</x:v>
      </x:c>
      <x:c r="B4" s="42" t="str">
        <x:v>Giá trị Excel</x:v>
      </x:c>
      <x:c r="C4" s="42" t="str">
        <x:v>Cách tính / công thức toán</x:v>
      </x:c>
      <x:c r="D4" s="42" t="str">
        <x:v>Ý nghĩa</x:v>
      </x:c>
    </x:row>
    <x:row r="5">
      <x:c r="A5" s="106" t="str">
        <x:v>n</x:v>
      </x:c>
      <x:c r="B5" s="107" t="n">
        <x:f>COUNT('MauHoiQuy'!$E$2:$E$128)</x:f>
        <x:v>127</x:v>
      </x:c>
      <x:c r="C5" s="126" t="str">
        <x:v>Số quan sát</x:v>
      </x:c>
      <x:c r="D5" s="126" t="str">
        <x:v>Số phòng trọ ngoài KTX dùng để ước lượng</x:v>
      </x:c>
    </x:row>
    <x:row r="6">
      <x:c r="A6" s="108" t="str">
        <x:v>x̄</x:v>
      </x:c>
      <x:c r="B6" s="109" t="n">
        <x:f>AVERAGE('MauHoiQuy'!$E$2:$E$128)</x:f>
        <x:v>4.296850393700788</x:v>
      </x:c>
      <x:c r="C6" s="127" t="str">
        <x:v>x̄ = Σxi / n</x:v>
      </x:c>
      <x:c r="D6" s="127" t="str">
        <x:v>Khoảng cách trung bình</x:v>
      </x:c>
    </x:row>
    <x:row r="7">
      <x:c r="A7" s="108" t="str">
        <x:v>ȳ</x:v>
      </x:c>
      <x:c r="B7" s="109" t="n">
        <x:f>AVERAGE('MauHoiQuy'!$F$2:$F$128)</x:f>
        <x:v>2.0795275590551188</x:v>
      </x:c>
      <x:c r="C7" s="127" t="str">
        <x:v>ȳ = Σyi / n</x:v>
      </x:c>
      <x:c r="D7" s="127" t="str">
        <x:v>Giá thuê trung bình</x:v>
      </x:c>
    </x:row>
    <x:row r="8">
      <x:c r="A8" s="108" t="str">
        <x:v>Sxx</x:v>
      </x:c>
      <x:c r="B8" s="109" t="n">
        <x:f>SUM('MauHoiQuy'!$J$2:$J$128)</x:f>
        <x:v>378.7187401574802</x:v>
      </x:c>
      <x:c r="C8" s="127" t="str">
        <x:v>Σ(xi − x̄)²</x:v>
      </x:c>
      <x:c r="D8" s="127" t="str">
        <x:v>Mức biến thiên của X</x:v>
      </x:c>
    </x:row>
    <x:row r="9">
      <x:c r="A9" s="108" t="str">
        <x:v>Sxy</x:v>
      </x:c>
      <x:c r="B9" s="109" t="n">
        <x:f>SUM('MauHoiQuy'!$I$2:$I$128)</x:f>
        <x:v>-66.40818897637796</x:v>
      </x:c>
      <x:c r="C9" s="127" t="str">
        <x:v>Σ(xi − x̄)(yi − ȳ)</x:v>
      </x:c>
      <x:c r="D9" s="127" t="str">
        <x:v>Đồng biến thiên giữa X và Y</x:v>
      </x:c>
    </x:row>
    <x:row r="10">
      <x:c r="B10" s="44"/>
      <x:c r="C10" s="128"/>
      <x:c r="D10" s="128"/>
    </x:row>
    <x:row r="11" ht="24" customHeight="1">
      <x:c r="A11" s="68" t="str">
        <x:v>2. Ước lượng điểm của các hệ số</x:v>
      </x:c>
      <x:c r="B11" s="86" t="str">
        <x:v>2. Ước lượng điểm của các hệ số</x:v>
      </x:c>
      <x:c r="C11" s="129" t="str">
        <x:v>2. Ước lượng điểm của các hệ số</x:v>
      </x:c>
      <x:c r="D11" s="129" t="str">
        <x:v>2. Ước lượng điểm của các hệ số</x:v>
      </x:c>
      <x:c r="E11" s="68" t="str">
        <x:v>2. Ước lượng điểm của các hệ số</x:v>
      </x:c>
      <x:c r="F11" s="68" t="str">
        <x:v>2. Ước lượng điểm của các hệ số</x:v>
      </x:c>
    </x:row>
    <x:row r="12">
      <x:c r="A12" s="42" t="str">
        <x:v>Ký hiệu</x:v>
      </x:c>
      <x:c r="B12" s="87" t="str">
        <x:v>Ước lượng</x:v>
      </x:c>
      <x:c r="C12" s="42" t="str">
        <x:v>Công thức</x:v>
      </x:c>
      <x:c r="D12" s="42" t="str">
        <x:v>Diễn giải</x:v>
      </x:c>
    </x:row>
    <x:row r="13">
      <x:c r="A13" s="106" t="str">
        <x:v>β̂1</x:v>
      </x:c>
      <x:c r="B13" s="116" t="n">
        <x:f>B9/B8</x:f>
        <x:v>-0.17534962476048546</x:v>
      </x:c>
      <x:c r="C13" s="126" t="str">
        <x:v>β̂1 = Sxy / Sxx</x:v>
      </x:c>
      <x:c r="D13" s="126" t="str">
        <x:v>X tăng 1 km thì giá thuê trung bình thay đổi β̂1 triệu</x:v>
      </x:c>
    </x:row>
    <x:row r="14">
      <x:c r="A14" s="108" t="str">
        <x:v>β̂0</x:v>
      </x:c>
      <x:c r="B14" s="109" t="n">
        <x:f>B7-B13*B6</x:f>
        <x:v>2.8329786632424963</x:v>
      </x:c>
      <x:c r="C14" s="127" t="str">
        <x:v>β̂0 = ȳ − β̂1x̄</x:v>
      </x:c>
      <x:c r="D14" s="127" t="str">
        <x:v>Giá dự báo tại X = 0; chủ yếu là điểm chặn toán học</x:v>
      </x:c>
    </x:row>
    <x:row r="15">
      <x:c r="B15" s="44"/>
      <x:c r="C15" s="128"/>
      <x:c r="D15" s="128"/>
    </x:row>
    <x:row r="16">
      <x:c r="A16" s="72" t="str">
        <x:v>Phương trình mẫu</x:v>
      </x:c>
      <x:c r="B16" s="88" t="str">
        <x:f>"Ŷ = "&amp;TEXT(B14,"0.000")&amp;IF(B13&lt;0," − "," + ")&amp;TEXT(ABS(B13),"0.000")&amp;" × X"</x:f>
        <x:v>Ŷ = 2.833 − 0.175 × X</x:v>
      </x:c>
      <x:c r="C16" s="130"/>
      <x:c r="D16" s="130"/>
    </x:row>
    <x:row r="17">
      <x:c r="B17" s="44"/>
      <x:c r="C17" s="128"/>
      <x:c r="D17" s="128"/>
    </x:row>
    <x:row r="18" ht="24" customHeight="1">
      <x:c r="A18" s="68" t="str">
        <x:v>3. Sai số, kiểm định và độ phù hợp</x:v>
      </x:c>
      <x:c r="B18" s="86" t="str">
        <x:v>3. Sai số, kiểm định và độ phù hợp</x:v>
      </x:c>
      <x:c r="C18" s="129" t="str">
        <x:v>3. Sai số, kiểm định và độ phù hợp</x:v>
      </x:c>
      <x:c r="D18" s="129" t="str">
        <x:v>3. Sai số, kiểm định và độ phù hợp</x:v>
      </x:c>
      <x:c r="E18" s="68" t="str">
        <x:v>3. Sai số, kiểm định và độ phù hợp</x:v>
      </x:c>
      <x:c r="F18" s="68" t="str">
        <x:v>3. Sai số, kiểm định và độ phù hợp</x:v>
      </x:c>
    </x:row>
    <x:row r="19">
      <x:c r="A19" s="42" t="str">
        <x:v>Chỉ số</x:v>
      </x:c>
      <x:c r="B19" s="87" t="str">
        <x:v>Giá trị</x:v>
      </x:c>
      <x:c r="C19" s="42" t="str">
        <x:v>Công thức</x:v>
      </x:c>
      <x:c r="D19" s="42" t="str">
        <x:v>Cách đọc</x:v>
      </x:c>
    </x:row>
    <x:row r="20">
      <x:c r="A20" s="106" t="str">
        <x:v>SSE</x:v>
      </x:c>
      <x:c r="B20" s="116" t="n">
        <x:f>SUM('MauHoiQuy'!$M$2:$M$128)</x:f>
        <x:v>15.042120635512022</x:v>
      </x:c>
      <x:c r="C20" s="126" t="str">
        <x:v>Σei²</x:v>
      </x:c>
      <x:c r="D20" s="126" t="str">
        <x:v>Tổng bình phương phần dư</x:v>
      </x:c>
    </x:row>
    <x:row r="21">
      <x:c r="A21" s="108" t="str">
        <x:v>SST</x:v>
      </x:c>
      <x:c r="B21" s="109" t="n">
        <x:f>SUM('MauHoiQuy'!$N$2:$N$128)</x:f>
        <x:v>26.686771653543286</x:v>
      </x:c>
      <x:c r="C21" s="127" t="str">
        <x:v>Σ(yi − ȳ)²</x:v>
      </x:c>
      <x:c r="D21" s="127" t="str">
        <x:v>Tổng biến thiên của Y</x:v>
      </x:c>
    </x:row>
    <x:row r="22">
      <x:c r="A22" s="108" t="str">
        <x:v>s²</x:v>
      </x:c>
      <x:c r="B22" s="109" t="n">
        <x:f>B20/(B5-2)</x:f>
        <x:v>0.12033696508409618</x:v>
      </x:c>
      <x:c r="C22" s="127" t="str">
        <x:v>SSE / (n − 2)</x:v>
      </x:c>
      <x:c r="D22" s="127" t="str">
        <x:v>Ước lượng không chệch của phương sai sai số σ²</x:v>
      </x:c>
    </x:row>
    <x:row r="23">
      <x:c r="A23" s="108" t="str">
        <x:v>s</x:v>
      </x:c>
      <x:c r="B23" s="109" t="n">
        <x:f>SQRT(B22)</x:f>
        <x:v>0.34689618776241427</x:v>
      </x:c>
      <x:c r="C23" s="127" t="str">
        <x:v>√s²</x:v>
      </x:c>
      <x:c r="D23" s="127" t="str">
        <x:v>Sai số chuẩn của mô hình</x:v>
      </x:c>
    </x:row>
    <x:row r="24">
      <x:c r="A24" s="108" t="str">
        <x:v>SE(β̂1)</x:v>
      </x:c>
      <x:c r="B24" s="109" t="n">
        <x:f>B23/SQRT(B8)</x:f>
        <x:v>0.017825475730333596</x:v>
      </x:c>
      <x:c r="C24" s="127" t="str">
        <x:v>s / √Sxx</x:v>
      </x:c>
      <x:c r="D24" s="127" t="str">
        <x:v>Độ bất định của hệ số góc</x:v>
      </x:c>
    </x:row>
    <x:row r="25">
      <x:c r="A25" s="108" t="str">
        <x:v>t</x:v>
      </x:c>
      <x:c r="B25" s="109" t="n">
        <x:f>B13/B24</x:f>
        <x:v>-9.83702356185048</x:v>
      </x:c>
      <x:c r="C25" s="127" t="str">
        <x:v>β̂1 / SE(β̂1)</x:v>
      </x:c>
      <x:c r="D25" s="127" t="str">
        <x:v>Thống kê kiểm định H0: β1 = 0</x:v>
      </x:c>
    </x:row>
    <x:row r="26">
      <x:c r="A26" s="108" t="str">
        <x:v>p-value</x:v>
      </x:c>
      <x:c r="B26" s="120" t="n">
        <x:v>2.9288920065525216e-17</x:v>
      </x:c>
      <x:c r="C26" s="127" t="str">
        <x:v>Excel: =T.DIST.2T(ABS(B25),B5-2)</x:v>
      </x:c>
      <x:c r="D26" s="127" t="str">
        <x:v>p &lt; 0,05 ⇒ bác bỏ H0</x:v>
      </x:c>
    </x:row>
    <x:row r="27">
      <x:c r="A27" s="108" t="str">
        <x:v>t* 95%</x:v>
      </x:c>
      <x:c r="B27" s="109" t="n">
        <x:v>1.979124109</x:v>
      </x:c>
      <x:c r="C27" s="127" t="str">
        <x:v>Excel: =T.INV.2T(0.05,B5-2)</x:v>
      </x:c>
      <x:c r="D27" s="127" t="str">
        <x:v>Hệ số tới hạn cho khoảng tin cậy 95%</x:v>
      </x:c>
    </x:row>
    <x:row r="28">
      <x:c r="A28" s="108" t="str">
        <x:v>CI 95% dưới</x:v>
      </x:c>
      <x:c r="B28" s="109" t="n">
        <x:f>B13-B27*B24</x:f>
        <x:v>-0.21062845353278306</x:v>
      </x:c>
      <x:c r="C28" s="127" t="str">
        <x:v>β̂1 − t*SE(β̂1)</x:v>
      </x:c>
      <x:c r="D28" s="127" t="str">
        <x:v>Cận dưới của β1</x:v>
      </x:c>
    </x:row>
    <x:row r="29">
      <x:c r="A29" s="108" t="str">
        <x:v>CI 95% trên</x:v>
      </x:c>
      <x:c r="B29" s="109" t="n">
        <x:f>B13+B27*B24</x:f>
        <x:v>-0.14007079598818786</x:v>
      </x:c>
      <x:c r="C29" s="127" t="str">
        <x:v>β̂1 + t*SE(β̂1)</x:v>
      </x:c>
      <x:c r="D29" s="127" t="str">
        <x:v>Cận trên của β1</x:v>
      </x:c>
    </x:row>
    <x:row r="30">
      <x:c r="A30" s="108" t="str">
        <x:v>R²</x:v>
      </x:c>
      <x:c r="B30" s="109" t="n">
        <x:f>1-B20/B21</x:f>
        <x:v>0.4363454362036019</x:v>
      </x:c>
      <x:c r="C30" s="127" t="str">
        <x:v>1 − SSE/SST</x:v>
      </x:c>
      <x:c r="D30" s="127" t="str">
        <x:v>Tỷ lệ biến thiên giá được X giải thích</x:v>
      </x:c>
    </x:row>
    <x:row r="31">
      <x:c r="A31" s="108" t="str">
        <x:v>r</x:v>
      </x:c>
      <x:c r="B31" s="109" t="n">
        <x:f>CORREL('MauHoiQuy'!$E$2:$E$128,'MauHoiQuy'!$F$2:$F$128)</x:f>
        <x:v>-0.6605644830019258</x:v>
      </x:c>
      <x:c r="C31" s="127" t="str">
        <x:v>CORREL(X,Y)</x:v>
      </x:c>
      <x:c r="D31" s="127" t="str">
        <x:v>Chiều và độ mạnh quan hệ tuyến tính</x:v>
      </x:c>
    </x:row>
    <x:row r="32">
      <x:c r="C32" s="128"/>
      <x:c r="D32" s="128"/>
    </x:row>
    <x:row r="33" ht="24" customHeight="1">
      <x:c r="A33" s="68" t="str">
        <x:v>4. Dự báo — thay ô B35 khi thầy hỏi khoảng cách khác</x:v>
      </x:c>
      <x:c r="B33" s="68" t="str">
        <x:v>4. Dự báo — thay ô B35 khi thầy hỏi khoảng cách khác</x:v>
      </x:c>
      <x:c r="C33" s="129" t="str">
        <x:v>4. Dự báo — thay ô B35 khi thầy hỏi khoảng cách khác</x:v>
      </x:c>
      <x:c r="D33" s="129" t="str">
        <x:v>4. Dự báo — thay ô B35 khi thầy hỏi khoảng cách khác</x:v>
      </x:c>
      <x:c r="E33" s="68" t="str">
        <x:v>4. Dự báo — thay ô B35 khi thầy hỏi khoảng cách khác</x:v>
      </x:c>
      <x:c r="F33" s="68" t="str">
        <x:v>4. Dự báo — thay ô B35 khi thầy hỏi khoảng cách khác</x:v>
      </x:c>
    </x:row>
    <x:row r="34">
      <x:c r="A34" s="42" t="str">
        <x:v>Đại lượng</x:v>
      </x:c>
      <x:c r="B34" s="42" t="str">
        <x:v>Giá trị</x:v>
      </x:c>
      <x:c r="C34" s="42" t="str">
        <x:v>Công thức</x:v>
      </x:c>
      <x:c r="D34" s="42" t="str">
        <x:v>Ý nghĩa</x:v>
      </x:c>
    </x:row>
    <x:row r="35">
      <x:c r="A35" s="106" t="str">
        <x:v>X0 (km)</x:v>
      </x:c>
      <x:c r="B35" s="124" t="n">
        <x:v>3</x:v>
      </x:c>
      <x:c r="C35" s="126" t="str">
        <x:v>Ô nhập</x:v>
      </x:c>
      <x:c r="D35" s="126" t="str">
        <x:v>Khoảng cách cần dự báo</x:v>
      </x:c>
    </x:row>
    <x:row r="36">
      <x:c r="A36" s="108" t="str">
        <x:v>Ŷ0</x:v>
      </x:c>
      <x:c r="B36" s="109" t="n">
        <x:f>$B$14+$B$13*B35</x:f>
        <x:v>2.30692978896104</x:v>
      </x:c>
      <x:c r="C36" s="127" t="str">
        <x:v>β̂0 + β̂1X0</x:v>
      </x:c>
      <x:c r="D36" s="127" t="str">
        <x:v>Giá thuê dự báo điểm</x:v>
      </x:c>
    </x:row>
    <x:row r="37">
      <x:c r="A37" s="108" t="str">
        <x:v>SE trung bình</x:v>
      </x:c>
      <x:c r="B37" s="109" t="n">
        <x:f>$B$23*SQRT(1/$B$5+(B35-$B$6)^2/$B$8)</x:f>
        <x:v>0.038495840053290174</x:v>
      </x:c>
      <x:c r="C37" s="127" t="str">
        <x:v>s√[1/n + (X0−x̄)²/Sxx]</x:v>
      </x:c>
      <x:c r="D37" s="127" t="str">
        <x:v>Độ bất định của giá trung bình</x:v>
      </x:c>
    </x:row>
    <x:row r="38">
      <x:c r="A38" s="108" t="str">
        <x:v>CI mean dưới</x:v>
      </x:c>
      <x:c r="B38" s="109" t="n">
        <x:f>B36-$B$27*B37</x:f>
        <x:v>2.2307417438153654</x:v>
      </x:c>
      <x:c r="C38" s="127" t="str">
        <x:v>Ŷ0 − t*SEmean</x:v>
      </x:c>
      <x:c r="D38" s="127" t="str">
        <x:v>Khoảng tin cậy 95% cho giá trung bình</x:v>
      </x:c>
    </x:row>
    <x:row r="39">
      <x:c r="A39" s="108" t="str">
        <x:v>CI mean trên</x:v>
      </x:c>
      <x:c r="B39" s="109" t="n">
        <x:f>B36+$B$27*B37</x:f>
        <x:v>2.3831178341067143</x:v>
      </x:c>
      <x:c r="C39" s="127" t="str">
        <x:v>Ŷ0 + t*SEmean</x:v>
      </x:c>
      <x:c r="D39" s="127" t="str">
        <x:v>Khoảng tin cậy 95% cho giá trung bình</x:v>
      </x:c>
    </x:row>
    <x:row r="40">
      <x:c r="A40" s="108" t="str">
        <x:v>PI cá thể dưới</x:v>
      </x:c>
      <x:c r="B40" s="109" t="n">
        <x:f>B36-$B$27*$B$23*SQRT(1+1/$B$5+(B35-$B$6)^2/$B$8)</x:f>
        <x:v>1.6161647375264878</x:v>
      </x:c>
      <x:c r="C40" s="127" t="str">
        <x:v>Ŷ0 − t*s√[1+1/n+(X0−x̄)²/Sxx]</x:v>
      </x:c>
      <x:c r="D40" s="127" t="str">
        <x:v>Khoảng dự báo 95% cho một phòng cụ thể</x:v>
      </x:c>
    </x:row>
    <x:row r="41">
      <x:c r="A41" s="108" t="str">
        <x:v>PI cá thể trên</x:v>
      </x:c>
      <x:c r="B41" s="109" t="n">
        <x:f>B36+$B$27*$B$23*SQRT(1+1/$B$5+(B35-$B$6)^2/$B$8)</x:f>
        <x:v>2.997694840395592</x:v>
      </x:c>
      <x:c r="C41" s="127" t="str">
        <x:v>Ŷ0 + t*s√[1+1/n+(X0−x̄)²/Sxx]</x:v>
      </x:c>
      <x:c r="D41" s="127" t="str">
        <x:v>Khoảng dự báo 95% cho một phòng cụ thể</x:v>
      </x:c>
    </x:row>
  </x:sheetData>
  <x:mergeCells>
    <x:mergeCell ref="A1:F1"/>
    <x:mergeCell ref="A3:F3"/>
    <x:mergeCell ref="A11:F11"/>
    <x:mergeCell ref="B16:D16"/>
    <x:mergeCell ref="A18:F18"/>
    <x:mergeCell ref="A33:F33"/>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7" hidden="0" customWidth="1"/>
    <x:col min="2" max="2" width="12" hidden="0" customWidth="1"/>
    <x:col min="3" max="3" width="15" hidden="0" customWidth="1"/>
    <x:col min="4" max="4" width="15" hidden="0" customWidth="1"/>
    <x:col min="5" max="5" width="15" hidden="0" customWidth="1"/>
    <x:col min="6" max="6" width="15" hidden="0" customWidth="1"/>
  </x:cols>
  <x:sheetData>
    <x:row r="1" ht="34" customHeight="1">
      <x:c r="A1" s="64" t="str">
        <x:v>ĐỐI CHIẾU: GỘP KTX VÀ TÁCH KTX</x:v>
      </x:c>
      <x:c r="B1" s="64" t="str">
        <x:v>ĐỐI CHIẾU: GỘP KTX VÀ TÁCH KTX</x:v>
      </x:c>
      <x:c r="C1" s="64" t="str">
        <x:v>ĐỐI CHIẾU: GỘP KTX VÀ TÁCH KTX</x:v>
      </x:c>
      <x:c r="D1" s="64" t="str">
        <x:v>ĐỐI CHIẾU: GỘP KTX VÀ TÁCH KTX</x:v>
      </x:c>
      <x:c r="E1" s="64" t="str">
        <x:v>ĐỐI CHIẾU: GỘP KTX VÀ TÁCH KTX</x:v>
      </x:c>
      <x:c r="F1" s="64" t="str">
        <x:v>ĐỐI CHIẾU: GỘP KTX VÀ TÁCH KTX</x:v>
      </x:c>
    </x:row>
    <x:row r="3">
      <x:c r="A3" s="42" t="str">
        <x:v>Mẫu</x:v>
      </x:c>
      <x:c r="B3" s="42" t="str">
        <x:v>n</x:v>
      </x:c>
      <x:c r="C3" s="42" t="str">
        <x:v>β̂0</x:v>
      </x:c>
      <x:c r="D3" s="42" t="str">
        <x:v>β̂1</x:v>
      </x:c>
      <x:c r="E3" s="42" t="str">
        <x:v>R²</x:v>
      </x:c>
      <x:c r="F3" s="42" t="str">
        <x:v>r</x:v>
      </x:c>
    </x:row>
    <x:row r="4">
      <x:c r="A4" s="210" t="str">
        <x:v>Tất cả dữ liệu sạch</x:v>
      </x:c>
      <x:c r="B4" s="211" t="n">
        <x:f>COUNT('DuLieuSach'!$G$2:$G$173)</x:f>
        <x:v>172</x:v>
      </x:c>
      <x:c r="C4" s="212" t="n">
        <x:f>INTERCEPT('DuLieuSach'!$H$2:$H$173,'DuLieuSach'!$G$2:$G$173)</x:f>
        <x:v>1.5444813802202177</x:v>
      </x:c>
      <x:c r="D4" s="212" t="n">
        <x:f>SLOPE('DuLieuSach'!$H$2:$H$173,'DuLieuSach'!$G$2:$G$173)</x:f>
        <x:v>0.07950356588697027</x:v>
      </x:c>
      <x:c r="E4" s="212" t="n">
        <x:f>RSQ('DuLieuSach'!$H$2:$H$173,'DuLieuSach'!$G$2:$G$173)</x:f>
        <x:v>0.08820922415258999</x:v>
      </x:c>
      <x:c r="F4" s="212" t="n">
        <x:f>CORREL('DuLieuSach'!$G$2:$G$173,'DuLieuSach'!$H$2:$H$173)</x:f>
        <x:v>0.2970003773610228</x:v>
      </x:c>
    </x:row>
    <x:row r="5">
      <x:c r="A5" s="216" t="str">
        <x:v>Chỉ trọ ngoài KTX</x:v>
      </x:c>
      <x:c r="B5" s="217" t="n">
        <x:f>'UocLuongOLS'!B5</x:f>
        <x:v>127</x:v>
      </x:c>
      <x:c r="C5" s="218" t="n">
        <x:f>'UocLuongOLS'!B14</x:f>
        <x:v>2.8329786632424963</x:v>
      </x:c>
      <x:c r="D5" s="218" t="n">
        <x:f>'UocLuongOLS'!B13</x:f>
        <x:v>-0.17534962476048546</x:v>
      </x:c>
      <x:c r="E5" s="218" t="n">
        <x:f>'UocLuongOLS'!B30</x:f>
        <x:v>0.4363454362036019</x:v>
      </x:c>
      <x:c r="F5" s="218" t="n">
        <x:f>'UocLuongOLS'!B31</x:f>
        <x:v>-0.6605644830019258</x:v>
      </x:c>
    </x:row>
    <x:row r="6">
      <x:c r="A6" s="108" t="str">
        <x:v>Chênh lệch dấu</x:v>
      </x:c>
      <x:c r="B6" s="108" t="str">
        <x:v>—</x:v>
      </x:c>
      <x:c r="C6" s="108" t="str">
        <x:v>—</x:v>
      </x:c>
      <x:c r="D6" s="108" t="str">
        <x:f>IF(D4*D5&lt;0,"Bị đảo dấu","Cùng dấu")</x:f>
        <x:v>Bị đảo dấu</x:v>
      </x:c>
      <x:c r="E6" s="108" t="str">
        <x:v>—</x:v>
      </x:c>
      <x:c r="F6" s="108" t="str">
        <x:v>—</x:v>
      </x:c>
    </x:row>
    <x:row r="8" ht="24" customHeight="1">
      <x:c r="A8" s="68" t="str">
        <x:v>Cách giải thích nếu thầy hỏi “Tại sao không dùng cả 172 dòng?”</x:v>
      </x:c>
      <x:c r="B8" s="68" t="str">
        <x:v>Cách giải thích nếu thầy hỏi “Tại sao không dùng cả 172 dòng?”</x:v>
      </x:c>
      <x:c r="C8" s="68" t="str">
        <x:v>Cách giải thích nếu thầy hỏi “Tại sao không dùng cả 172 dòng?”</x:v>
      </x:c>
      <x:c r="D8" s="68" t="str">
        <x:v>Cách giải thích nếu thầy hỏi “Tại sao không dùng cả 172 dòng?”</x:v>
      </x:c>
      <x:c r="E8" s="68" t="str">
        <x:v>Cách giải thích nếu thầy hỏi “Tại sao không dùng cả 172 dòng?”</x:v>
      </x:c>
      <x:c r="F8" s="68" t="str">
        <x:v>Cách giải thích nếu thầy hỏi “Tại sao không dùng cả 172 dòng?”</x:v>
      </x:c>
    </x:row>
    <x:row r="9">
      <x:c r="A9" s="258" t="str">
        <x:v>45 dòng KTX vẫn là dữ liệu hợp lệ, nhưng giá KTX do nhà trường quy định và không vận động theo khoảng cách như giá trọ ngoài thị trường. Khi gộp hai cơ chế giá khác nhau, cụm KTX có khoảng cách rất nhỏ nhưng giá cũng thấp làm hệ số góc đổi từ âm sang dương. Vì câu hỏi nghiên cứu là giá thuê trọ thị trường, em giữ KTX ở phần mô tả nhưng tách khỏi mẫu ước lượng. Bảng trên là phân tích độ nhạy cho thấy quyết định này ảnh hưởng trực tiếp đến kết luận.</x:v>
      </x:c>
      <x:c r="B9" s="259" t="str">
        <x:v>45 dòng KTX vẫn là dữ liệu hợp lệ, nhưng giá KTX do nhà trường quy định và không vận động theo khoảng cách như giá trọ ngoài thị trường. Khi gộp hai cơ chế giá khác nhau, cụm KTX có khoảng cách rất nhỏ nhưng giá cũng thấp làm hệ số góc đổi từ âm sang dương. Vì câu hỏi nghiên cứu là giá thuê trọ thị trường, em giữ KTX ở phần mô tả nhưng tách khỏi mẫu ước lượng. Bảng trên là phân tích độ nhạy cho thấy quyết định này ảnh hưởng trực tiếp đến kết luận.</x:v>
      </x:c>
      <x:c r="C9" s="259" t="str">
        <x:v>45 dòng KTX vẫn là dữ liệu hợp lệ, nhưng giá KTX do nhà trường quy định và không vận động theo khoảng cách như giá trọ ngoài thị trường. Khi gộp hai cơ chế giá khác nhau, cụm KTX có khoảng cách rất nhỏ nhưng giá cũng thấp làm hệ số góc đổi từ âm sang dương. Vì câu hỏi nghiên cứu là giá thuê trọ thị trường, em giữ KTX ở phần mô tả nhưng tách khỏi mẫu ước lượng. Bảng trên là phân tích độ nhạy cho thấy quyết định này ảnh hưởng trực tiếp đến kết luận.</x:v>
      </x:c>
      <x:c r="D9" s="259" t="str">
        <x:v>45 dòng KTX vẫn là dữ liệu hợp lệ, nhưng giá KTX do nhà trường quy định và không vận động theo khoảng cách như giá trọ ngoài thị trường. Khi gộp hai cơ chế giá khác nhau, cụm KTX có khoảng cách rất nhỏ nhưng giá cũng thấp làm hệ số góc đổi từ âm sang dương. Vì câu hỏi nghiên cứu là giá thuê trọ thị trường, em giữ KTX ở phần mô tả nhưng tách khỏi mẫu ước lượng. Bảng trên là phân tích độ nhạy cho thấy quyết định này ảnh hưởng trực tiếp đến kết luận.</x:v>
      </x:c>
      <x:c r="E9" s="259" t="str">
        <x:v>45 dòng KTX vẫn là dữ liệu hợp lệ, nhưng giá KTX do nhà trường quy định và không vận động theo khoảng cách như giá trọ ngoài thị trường. Khi gộp hai cơ chế giá khác nhau, cụm KTX có khoảng cách rất nhỏ nhưng giá cũng thấp làm hệ số góc đổi từ âm sang dương. Vì câu hỏi nghiên cứu là giá thuê trọ thị trường, em giữ KTX ở phần mô tả nhưng tách khỏi mẫu ước lượng. Bảng trên là phân tích độ nhạy cho thấy quyết định này ảnh hưởng trực tiếp đến kết luận.</x:v>
      </x:c>
      <x:c r="F9" s="260" t="str">
        <x:v>45 dòng KTX vẫn là dữ liệu hợp lệ, nhưng giá KTX do nhà trường quy định và không vận động theo khoảng cách như giá trọ ngoài thị trường. Khi gộp hai cơ chế giá khác nhau, cụm KTX có khoảng cách rất nhỏ nhưng giá cũng thấp làm hệ số góc đổi từ âm sang dương. Vì câu hỏi nghiên cứu là giá thuê trọ thị trường, em giữ KTX ở phần mô tả nhưng tách khỏi mẫu ước lượng. Bảng trên là phân tích độ nhạy cho thấy quyết định này ảnh hưởng trực tiếp đến kết luận.</x:v>
      </x:c>
    </x:row>
    <x:row r="10">
      <x:c r="A10" s="261" t="str">
        <x:v>45 dòng KTX vẫn là dữ liệu hợp lệ, nhưng giá KTX do nhà trường quy định và không vận động theo khoảng cách như giá trọ ngoài thị trường. Khi gộp hai cơ chế giá khác nhau, cụm KTX có khoảng cách rất nhỏ nhưng giá cũng thấp làm hệ số góc đổi từ âm sang dương. Vì câu hỏi nghiên cứu là giá thuê trọ thị trường, em giữ KTX ở phần mô tả nhưng tách khỏi mẫu ước lượng. Bảng trên là phân tích độ nhạy cho thấy quyết định này ảnh hưởng trực tiếp đến kết luận.</x:v>
      </x:c>
      <x:c r="B10" s="262" t="str">
        <x:v>45 dòng KTX vẫn là dữ liệu hợp lệ, nhưng giá KTX do nhà trường quy định và không vận động theo khoảng cách như giá trọ ngoài thị trường. Khi gộp hai cơ chế giá khác nhau, cụm KTX có khoảng cách rất nhỏ nhưng giá cũng thấp làm hệ số góc đổi từ âm sang dương. Vì câu hỏi nghiên cứu là giá thuê trọ thị trường, em giữ KTX ở phần mô tả nhưng tách khỏi mẫu ước lượng. Bảng trên là phân tích độ nhạy cho thấy quyết định này ảnh hưởng trực tiếp đến kết luận.</x:v>
      </x:c>
      <x:c r="C10" s="262" t="str">
        <x:v>45 dòng KTX vẫn là dữ liệu hợp lệ, nhưng giá KTX do nhà trường quy định và không vận động theo khoảng cách như giá trọ ngoài thị trường. Khi gộp hai cơ chế giá khác nhau, cụm KTX có khoảng cách rất nhỏ nhưng giá cũng thấp làm hệ số góc đổi từ âm sang dương. Vì câu hỏi nghiên cứu là giá thuê trọ thị trường, em giữ KTX ở phần mô tả nhưng tách khỏi mẫu ước lượng. Bảng trên là phân tích độ nhạy cho thấy quyết định này ảnh hưởng trực tiếp đến kết luận.</x:v>
      </x:c>
      <x:c r="D10" s="262" t="str">
        <x:v>45 dòng KTX vẫn là dữ liệu hợp lệ, nhưng giá KTX do nhà trường quy định và không vận động theo khoảng cách như giá trọ ngoài thị trường. Khi gộp hai cơ chế giá khác nhau, cụm KTX có khoảng cách rất nhỏ nhưng giá cũng thấp làm hệ số góc đổi từ âm sang dương. Vì câu hỏi nghiên cứu là giá thuê trọ thị trường, em giữ KTX ở phần mô tả nhưng tách khỏi mẫu ước lượng. Bảng trên là phân tích độ nhạy cho thấy quyết định này ảnh hưởng trực tiếp đến kết luận.</x:v>
      </x:c>
      <x:c r="E10" s="262" t="str">
        <x:v>45 dòng KTX vẫn là dữ liệu hợp lệ, nhưng giá KTX do nhà trường quy định và không vận động theo khoảng cách như giá trọ ngoài thị trường. Khi gộp hai cơ chế giá khác nhau, cụm KTX có khoảng cách rất nhỏ nhưng giá cũng thấp làm hệ số góc đổi từ âm sang dương. Vì câu hỏi nghiên cứu là giá thuê trọ thị trường, em giữ KTX ở phần mô tả nhưng tách khỏi mẫu ước lượng. Bảng trên là phân tích độ nhạy cho thấy quyết định này ảnh hưởng trực tiếp đến kết luận.</x:v>
      </x:c>
      <x:c r="F10" s="263" t="str">
        <x:v>45 dòng KTX vẫn là dữ liệu hợp lệ, nhưng giá KTX do nhà trường quy định và không vận động theo khoảng cách như giá trọ ngoài thị trường. Khi gộp hai cơ chế giá khác nhau, cụm KTX có khoảng cách rất nhỏ nhưng giá cũng thấp làm hệ số góc đổi từ âm sang dương. Vì câu hỏi nghiên cứu là giá thuê trọ thị trường, em giữ KTX ở phần mô tả nhưng tách khỏi mẫu ước lượng. Bảng trên là phân tích độ nhạy cho thấy quyết định này ảnh hưởng trực tiếp đến kết luận.</x:v>
      </x:c>
    </x:row>
    <x:row r="11">
      <x:c r="A11" s="261" t="str">
        <x:v>45 dòng KTX vẫn là dữ liệu hợp lệ, nhưng giá KTX do nhà trường quy định và không vận động theo khoảng cách như giá trọ ngoài thị trường. Khi gộp hai cơ chế giá khác nhau, cụm KTX có khoảng cách rất nhỏ nhưng giá cũng thấp làm hệ số góc đổi từ âm sang dương. Vì câu hỏi nghiên cứu là giá thuê trọ thị trường, em giữ KTX ở phần mô tả nhưng tách khỏi mẫu ước lượng. Bảng trên là phân tích độ nhạy cho thấy quyết định này ảnh hưởng trực tiếp đến kết luận.</x:v>
      </x:c>
      <x:c r="B11" s="262" t="str">
        <x:v>45 dòng KTX vẫn là dữ liệu hợp lệ, nhưng giá KTX do nhà trường quy định và không vận động theo khoảng cách như giá trọ ngoài thị trường. Khi gộp hai cơ chế giá khác nhau, cụm KTX có khoảng cách rất nhỏ nhưng giá cũng thấp làm hệ số góc đổi từ âm sang dương. Vì câu hỏi nghiên cứu là giá thuê trọ thị trường, em giữ KTX ở phần mô tả nhưng tách khỏi mẫu ước lượng. Bảng trên là phân tích độ nhạy cho thấy quyết định này ảnh hưởng trực tiếp đến kết luận.</x:v>
      </x:c>
      <x:c r="C11" s="262" t="str">
        <x:v>45 dòng KTX vẫn là dữ liệu hợp lệ, nhưng giá KTX do nhà trường quy định và không vận động theo khoảng cách như giá trọ ngoài thị trường. Khi gộp hai cơ chế giá khác nhau, cụm KTX có khoảng cách rất nhỏ nhưng giá cũng thấp làm hệ số góc đổi từ âm sang dương. Vì câu hỏi nghiên cứu là giá thuê trọ thị trường, em giữ KTX ở phần mô tả nhưng tách khỏi mẫu ước lượng. Bảng trên là phân tích độ nhạy cho thấy quyết định này ảnh hưởng trực tiếp đến kết luận.</x:v>
      </x:c>
      <x:c r="D11" s="262" t="str">
        <x:v>45 dòng KTX vẫn là dữ liệu hợp lệ, nhưng giá KTX do nhà trường quy định và không vận động theo khoảng cách như giá trọ ngoài thị trường. Khi gộp hai cơ chế giá khác nhau, cụm KTX có khoảng cách rất nhỏ nhưng giá cũng thấp làm hệ số góc đổi từ âm sang dương. Vì câu hỏi nghiên cứu là giá thuê trọ thị trường, em giữ KTX ở phần mô tả nhưng tách khỏi mẫu ước lượng. Bảng trên là phân tích độ nhạy cho thấy quyết định này ảnh hưởng trực tiếp đến kết luận.</x:v>
      </x:c>
      <x:c r="E11" s="262" t="str">
        <x:v>45 dòng KTX vẫn là dữ liệu hợp lệ, nhưng giá KTX do nhà trường quy định và không vận động theo khoảng cách như giá trọ ngoài thị trường. Khi gộp hai cơ chế giá khác nhau, cụm KTX có khoảng cách rất nhỏ nhưng giá cũng thấp làm hệ số góc đổi từ âm sang dương. Vì câu hỏi nghiên cứu là giá thuê trọ thị trường, em giữ KTX ở phần mô tả nhưng tách khỏi mẫu ước lượng. Bảng trên là phân tích độ nhạy cho thấy quyết định này ảnh hưởng trực tiếp đến kết luận.</x:v>
      </x:c>
      <x:c r="F11" s="263" t="str">
        <x:v>45 dòng KTX vẫn là dữ liệu hợp lệ, nhưng giá KTX do nhà trường quy định và không vận động theo khoảng cách như giá trọ ngoài thị trường. Khi gộp hai cơ chế giá khác nhau, cụm KTX có khoảng cách rất nhỏ nhưng giá cũng thấp làm hệ số góc đổi từ âm sang dương. Vì câu hỏi nghiên cứu là giá thuê trọ thị trường, em giữ KTX ở phần mô tả nhưng tách khỏi mẫu ước lượng. Bảng trên là phân tích độ nhạy cho thấy quyết định này ảnh hưởng trực tiếp đến kết luận.</x:v>
      </x:c>
    </x:row>
    <x:row r="12">
      <x:c r="A12" s="264" t="str">
        <x:v>45 dòng KTX vẫn là dữ liệu hợp lệ, nhưng giá KTX do nhà trường quy định và không vận động theo khoảng cách như giá trọ ngoài thị trường. Khi gộp hai cơ chế giá khác nhau, cụm KTX có khoảng cách rất nhỏ nhưng giá cũng thấp làm hệ số góc đổi từ âm sang dương. Vì câu hỏi nghiên cứu là giá thuê trọ thị trường, em giữ KTX ở phần mô tả nhưng tách khỏi mẫu ước lượng. Bảng trên là phân tích độ nhạy cho thấy quyết định này ảnh hưởng trực tiếp đến kết luận.</x:v>
      </x:c>
      <x:c r="B12" s="265" t="str">
        <x:v>45 dòng KTX vẫn là dữ liệu hợp lệ, nhưng giá KTX do nhà trường quy định và không vận động theo khoảng cách như giá trọ ngoài thị trường. Khi gộp hai cơ chế giá khác nhau, cụm KTX có khoảng cách rất nhỏ nhưng giá cũng thấp làm hệ số góc đổi từ âm sang dương. Vì câu hỏi nghiên cứu là giá thuê trọ thị trường, em giữ KTX ở phần mô tả nhưng tách khỏi mẫu ước lượng. Bảng trên là phân tích độ nhạy cho thấy quyết định này ảnh hưởng trực tiếp đến kết luận.</x:v>
      </x:c>
      <x:c r="C12" s="265" t="str">
        <x:v>45 dòng KTX vẫn là dữ liệu hợp lệ, nhưng giá KTX do nhà trường quy định và không vận động theo khoảng cách như giá trọ ngoài thị trường. Khi gộp hai cơ chế giá khác nhau, cụm KTX có khoảng cách rất nhỏ nhưng giá cũng thấp làm hệ số góc đổi từ âm sang dương. Vì câu hỏi nghiên cứu là giá thuê trọ thị trường, em giữ KTX ở phần mô tả nhưng tách khỏi mẫu ước lượng. Bảng trên là phân tích độ nhạy cho thấy quyết định này ảnh hưởng trực tiếp đến kết luận.</x:v>
      </x:c>
      <x:c r="D12" s="265" t="str">
        <x:v>45 dòng KTX vẫn là dữ liệu hợp lệ, nhưng giá KTX do nhà trường quy định và không vận động theo khoảng cách như giá trọ ngoài thị trường. Khi gộp hai cơ chế giá khác nhau, cụm KTX có khoảng cách rất nhỏ nhưng giá cũng thấp làm hệ số góc đổi từ âm sang dương. Vì câu hỏi nghiên cứu là giá thuê trọ thị trường, em giữ KTX ở phần mô tả nhưng tách khỏi mẫu ước lượng. Bảng trên là phân tích độ nhạy cho thấy quyết định này ảnh hưởng trực tiếp đến kết luận.</x:v>
      </x:c>
      <x:c r="E12" s="265" t="str">
        <x:v>45 dòng KTX vẫn là dữ liệu hợp lệ, nhưng giá KTX do nhà trường quy định và không vận động theo khoảng cách như giá trọ ngoài thị trường. Khi gộp hai cơ chế giá khác nhau, cụm KTX có khoảng cách rất nhỏ nhưng giá cũng thấp làm hệ số góc đổi từ âm sang dương. Vì câu hỏi nghiên cứu là giá thuê trọ thị trường, em giữ KTX ở phần mô tả nhưng tách khỏi mẫu ước lượng. Bảng trên là phân tích độ nhạy cho thấy quyết định này ảnh hưởng trực tiếp đến kết luận.</x:v>
      </x:c>
      <x:c r="F12" s="266" t="str">
        <x:v>45 dòng KTX vẫn là dữ liệu hợp lệ, nhưng giá KTX do nhà trường quy định và không vận động theo khoảng cách như giá trọ ngoài thị trường. Khi gộp hai cơ chế giá khác nhau, cụm KTX có khoảng cách rất nhỏ nhưng giá cũng thấp làm hệ số góc đổi từ âm sang dương. Vì câu hỏi nghiên cứu là giá thuê trọ thị trường, em giữ KTX ở phần mô tả nhưng tách khỏi mẫu ước lượng. Bảng trên là phân tích độ nhạy cho thấy quyết định này ảnh hưởng trực tiếp đến kết luận.</x:v>
      </x:c>
    </x:row>
  </x:sheetData>
  <x:mergeCells>
    <x:mergeCell ref="A1:F1"/>
    <x:mergeCell ref="A8:F8"/>
    <x:mergeCell ref="A9:F1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2" hidden="0" customWidth="1"/>
    <x:col min="2" max="2" width="12" hidden="0" customWidth="1"/>
    <x:col min="3" max="3" width="17" hidden="0" customWidth="1"/>
    <x:col min="4" max="4" width="17" hidden="0" customWidth="1"/>
    <x:col min="5" max="5" width="4" hidden="0" customWidth="1"/>
    <x:col min="6" max="6" width="27" hidden="0" customWidth="1"/>
    <x:col min="7" max="7" width="12" hidden="0" customWidth="1"/>
    <x:col min="8" max="8" width="17" hidden="0" customWidth="1"/>
    <x:col min="9" max="9" width="17" hidden="0" customWidth="1"/>
    <x:col min="10" max="10" width="3" hidden="0" customWidth="1"/>
  </x:cols>
  <x:sheetData>
    <x:row r="1" ht="34" customHeight="1">
      <x:c r="A1" s="64" t="str">
        <x:v>PHÂN TÍCH DỮ LIỆU THEO KHU VỰC VÀ LOẠI PHÒNG</x:v>
      </x:c>
      <x:c r="B1" s="64" t="str">
        <x:v>PHÂN TÍCH DỮ LIỆU THEO KHU VỰC VÀ LOẠI PHÒNG</x:v>
      </x:c>
      <x:c r="C1" s="64" t="str">
        <x:v>PHÂN TÍCH DỮ LIỆU THEO KHU VỰC VÀ LOẠI PHÒNG</x:v>
      </x:c>
      <x:c r="D1" s="64" t="str">
        <x:v>PHÂN TÍCH DỮ LIỆU THEO KHU VỰC VÀ LOẠI PHÒNG</x:v>
      </x:c>
      <x:c r="E1" s="64" t="str">
        <x:v>PHÂN TÍCH DỮ LIỆU THEO KHU VỰC VÀ LOẠI PHÒNG</x:v>
      </x:c>
      <x:c r="F1" s="64" t="str">
        <x:v>PHÂN TÍCH DỮ LIỆU THEO KHU VỰC VÀ LOẠI PHÒNG</x:v>
      </x:c>
      <x:c r="G1" s="64" t="str">
        <x:v>PHÂN TÍCH DỮ LIỆU THEO KHU VỰC VÀ LOẠI PHÒNG</x:v>
      </x:c>
      <x:c r="H1" s="64" t="str">
        <x:v>PHÂN TÍCH DỮ LIỆU THEO KHU VỰC VÀ LOẠI PHÒNG</x:v>
      </x:c>
      <x:c r="I1" s="64" t="str">
        <x:v>PHÂN TÍCH DỮ LIỆU THEO KHU VỰC VÀ LOẠI PHÒNG</x:v>
      </x:c>
      <x:c r="J1" s="64" t="str">
        <x:v>PHÂN TÍCH DỮ LIỆU THEO KHU VỰC VÀ LOẠI PHÒNG</x:v>
      </x:c>
    </x:row>
    <x:row r="3" ht="24" customHeight="1">
      <x:c r="A3" s="68" t="str">
        <x:v>Theo khu vực</x:v>
      </x:c>
      <x:c r="B3" s="68" t="str">
        <x:v>Theo khu vực</x:v>
      </x:c>
      <x:c r="C3" s="68" t="str">
        <x:v>Theo khu vực</x:v>
      </x:c>
      <x:c r="D3" s="68" t="str">
        <x:v>Theo khu vực</x:v>
      </x:c>
      <x:c r="F3" s="68" t="str">
        <x:v>Theo loại phòng</x:v>
      </x:c>
      <x:c r="G3" s="68" t="str">
        <x:v>Theo loại phòng</x:v>
      </x:c>
      <x:c r="H3" s="68" t="str">
        <x:v>Theo loại phòng</x:v>
      </x:c>
      <x:c r="I3" s="68" t="str">
        <x:v>Theo loại phòng</x:v>
      </x:c>
    </x:row>
    <x:row r="4">
      <x:c r="A4" s="42" t="str">
        <x:v>Khu vực</x:v>
      </x:c>
      <x:c r="B4" s="42" t="str">
        <x:v>Số lượng</x:v>
      </x:c>
      <x:c r="C4" s="42" t="str">
        <x:v>Khoảng cách TB</x:v>
      </x:c>
      <x:c r="D4" s="42" t="str">
        <x:v>Giá thuê TB</x:v>
      </x:c>
      <x:c r="F4" s="42" t="str">
        <x:v>Loại phòng</x:v>
      </x:c>
      <x:c r="G4" s="42" t="str">
        <x:v>Số lượng</x:v>
      </x:c>
      <x:c r="H4" s="42" t="str">
        <x:v>Khoảng cách TB</x:v>
      </x:c>
      <x:c r="I4" s="42" t="str">
        <x:v>Giá thuê TB</x:v>
      </x:c>
    </x:row>
    <x:row r="5">
      <x:c r="A5" s="106" t="str">
        <x:v>Dom A</x:v>
      </x:c>
      <x:c r="B5" s="106" t="n">
        <x:f>COUNTIF('DuLieuSach'!$E$2:$E$173,A5)</x:f>
        <x:v>12</x:v>
      </x:c>
      <x:c r="C5" s="276" t="n">
        <x:f>AVERAGEIF('DuLieuSach'!$E$2:$E$173,A5,'DuLieuSach'!$G$2:$G$173)</x:f>
        <x:v>0.25</x:v>
      </x:c>
      <x:c r="D5" s="276" t="n">
        <x:f>AVERAGEIF('DuLieuSach'!$E$2:$E$173,A5,'DuLieuSach'!$H$2:$H$173)</x:f>
        <x:v>1.0000000000000002</x:v>
      </x:c>
      <x:c r="F5" s="106" t="str">
        <x:v>Chung cư mini</x:v>
      </x:c>
      <x:c r="G5" s="106" t="n">
        <x:f>COUNTIF('DuLieuSach'!$F$2:$F$173,F5)</x:f>
        <x:v>17</x:v>
      </x:c>
      <x:c r="H5" s="276" t="n">
        <x:f>AVERAGEIF('DuLieuSach'!$F$2:$F$173,F5,'DuLieuSach'!$G$2:$G$173)</x:f>
        <x:v>3.5058823529411764</x:v>
      </x:c>
      <x:c r="I5" s="276" t="n">
        <x:f>AVERAGEIF('DuLieuSach'!$F$2:$F$173,F5,'DuLieuSach'!$H$2:$H$173)</x:f>
        <x:v>2.7823529411764705</x:v>
      </x:c>
    </x:row>
    <x:row r="6">
      <x:c r="A6" s="108" t="str">
        <x:v>Dom B</x:v>
      </x:c>
      <x:c r="B6" s="108" t="n">
        <x:f>COUNTIF('DuLieuSach'!$E$2:$E$173,A6)</x:f>
        <x:v>14</x:v>
      </x:c>
      <x:c r="C6" s="277" t="n">
        <x:f>AVERAGEIF('DuLieuSach'!$E$2:$E$173,A6,'DuLieuSach'!$G$2:$G$173)</x:f>
        <x:v>0.31428571428571433</x:v>
      </x:c>
      <x:c r="D6" s="277" t="n">
        <x:f>AVERAGEIF('DuLieuSach'!$E$2:$E$173,A6,'DuLieuSach'!$H$2:$H$173)</x:f>
        <x:v>1.0571428571428572</x:v>
      </x:c>
      <x:c r="F6" s="108" t="str">
        <x:v>Chung cư mini/Studio</x:v>
      </x:c>
      <x:c r="G6" s="108" t="n">
        <x:f>COUNTIF('DuLieuSach'!$F$2:$F$173,F6)</x:f>
        <x:v>7</x:v>
      </x:c>
      <x:c r="H6" s="277" t="n">
        <x:f>AVERAGEIF('DuLieuSach'!$F$2:$F$173,F6,'DuLieuSach'!$G$2:$G$173)</x:f>
        <x:v>2.9142857142857146</x:v>
      </x:c>
      <x:c r="I6" s="277" t="n">
        <x:f>AVERAGEIF('DuLieuSach'!$F$2:$F$173,F6,'DuLieuSach'!$H$2:$H$173)</x:f>
        <x:v>2.857142857142857</x:v>
      </x:c>
    </x:row>
    <x:row r="7">
      <x:c r="A7" s="108" t="str">
        <x:v>Dom C</x:v>
      </x:c>
      <x:c r="B7" s="108" t="n">
        <x:f>COUNTIF('DuLieuSach'!$E$2:$E$173,A7)</x:f>
        <x:v>10</x:v>
      </x:c>
      <x:c r="C7" s="277" t="n">
        <x:f>AVERAGEIF('DuLieuSach'!$E$2:$E$173,A7,'DuLieuSach'!$G$2:$G$173)</x:f>
        <x:v>0.4000000000000001</x:v>
      </x:c>
      <x:c r="D7" s="277" t="n">
        <x:f>AVERAGEIF('DuLieuSach'!$E$2:$E$173,A7,'DuLieuSach'!$H$2:$H$173)</x:f>
        <x:v>1.0100000000000002</x:v>
      </x:c>
      <x:c r="F7" s="108" t="str">
        <x:v>Ký túc xá</x:v>
      </x:c>
      <x:c r="G7" s="108" t="n">
        <x:f>COUNTIF('DuLieuSach'!$F$2:$F$173,F7)</x:f>
        <x:v>45</x:v>
      </x:c>
      <x:c r="H7" s="277" t="n">
        <x:f>AVERAGEIF('DuLieuSach'!$F$2:$F$173,F7,'DuLieuSach'!$G$2:$G$173)</x:f>
        <x:v>0.3533333333333333</x:v>
      </x:c>
      <x:c r="I7" s="277" t="n">
        <x:f>AVERAGEIF('DuLieuSach'!$F$2:$F$173,F7,'DuLieuSach'!$H$2:$H$173)</x:f>
        <x:v>1.0266666666666668</x:v>
      </x:c>
    </x:row>
    <x:row r="8">
      <x:c r="A8" s="108" t="str">
        <x:v>Dom D</x:v>
      </x:c>
      <x:c r="B8" s="108" t="n">
        <x:f>COUNTIF('DuLieuSach'!$E$2:$E$173,A8)</x:f>
        <x:v>9</x:v>
      </x:c>
      <x:c r="C8" s="277" t="n">
        <x:f>AVERAGEIF('DuLieuSach'!$E$2:$E$173,A8,'DuLieuSach'!$G$2:$G$173)</x:f>
        <x:v>0.5</x:v>
      </x:c>
      <x:c r="D8" s="277" t="n">
        <x:f>AVERAGEIF('DuLieuSach'!$E$2:$E$173,A8,'DuLieuSach'!$H$2:$H$173)</x:f>
        <x:v>1.0333333333333334</x:v>
      </x:c>
      <x:c r="F8" s="108" t="str">
        <x:v>Phòng khép kín</x:v>
      </x:c>
      <x:c r="G8" s="108" t="n">
        <x:f>COUNTIF('DuLieuSach'!$F$2:$F$173,F8)</x:f>
        <x:v>41</x:v>
      </x:c>
      <x:c r="H8" s="277" t="n">
        <x:f>AVERAGEIF('DuLieuSach'!$F$2:$F$173,F8,'DuLieuSach'!$G$2:$G$173)</x:f>
        <x:v>6.407317073170732</x:v>
      </x:c>
      <x:c r="I8" s="277" t="n">
        <x:f>AVERAGEIF('DuLieuSach'!$F$2:$F$173,F8,'DuLieuSach'!$H$2:$H$173)</x:f>
        <x:v>1.6585365853658534</x:v>
      </x:c>
    </x:row>
    <x:row r="9">
      <x:c r="A9" s="108" t="str">
        <x:v>Hòa Lạc</x:v>
      </x:c>
      <x:c r="B9" s="108" t="n">
        <x:f>COUNTIF('DuLieuSach'!$E$2:$E$173,A9)</x:f>
        <x:v>40</x:v>
      </x:c>
      <x:c r="C9" s="277" t="n">
        <x:f>AVERAGEIF('DuLieuSach'!$E$2:$E$173,A9,'DuLieuSach'!$G$2:$G$173)</x:f>
        <x:v>6.4925</x:v>
      </x:c>
      <x:c r="D9" s="277" t="n">
        <x:f>AVERAGEIF('DuLieuSach'!$E$2:$E$173,A9,'DuLieuSach'!$H$2:$H$173)</x:f>
        <x:v>1.6374999999999993</x:v>
      </x:c>
      <x:c r="F9" s="108" t="str">
        <x:v>Phòng trọ cơ bản</x:v>
      </x:c>
      <x:c r="G9" s="108" t="n">
        <x:f>COUNTIF('DuLieuSach'!$F$2:$F$173,F9)</x:f>
        <x:v>62</x:v>
      </x:c>
      <x:c r="H9" s="277" t="n">
        <x:f>AVERAGEIF('DuLieuSach'!$F$2:$F$173,F9,'DuLieuSach'!$G$2:$G$173)</x:f>
        <x:v>3.2741935483870956</x:v>
      </x:c>
      <x:c r="I9" s="277" t="n">
        <x:f>AVERAGEIF('DuLieuSach'!$F$2:$F$173,F9,'DuLieuSach'!$H$2:$H$173)</x:f>
        <x:v>2.07741935483871</x:v>
      </x:c>
    </x:row>
    <x:row r="10">
      <x:c r="A10" s="108" t="str">
        <x:v>Thạch Hòa</x:v>
      </x:c>
      <x:c r="B10" s="108" t="n">
        <x:f>COUNTIF('DuLieuSach'!$E$2:$E$173,A10)</x:f>
        <x:v>40</x:v>
      </x:c>
      <x:c r="C10" s="277" t="n">
        <x:f>AVERAGEIF('DuLieuSach'!$E$2:$E$173,A10,'DuLieuSach'!$G$2:$G$173)</x:f>
        <x:v>3.562499999999999</x:v>
      </x:c>
      <x:c r="D10" s="277" t="n">
        <x:f>AVERAGEIF('DuLieuSach'!$E$2:$E$173,A10,'DuLieuSach'!$H$2:$H$173)</x:f>
        <x:v>2.337500000000001</x:v>
      </x:c>
    </x:row>
    <x:row r="11">
      <x:c r="A11" s="108" t="str">
        <x:v>Tân Xã</x:v>
      </x:c>
      <x:c r="B11" s="108" t="n">
        <x:f>COUNTIF('DuLieuSach'!$E$2:$E$173,A11)</x:f>
        <x:v>47</x:v>
      </x:c>
      <x:c r="C11" s="277" t="n">
        <x:f>AVERAGEIF('DuLieuSach'!$E$2:$E$173,A11,'DuLieuSach'!$G$2:$G$173)</x:f>
        <x:v>3.0531914893617023</x:v>
      </x:c>
      <x:c r="D11" s="277" t="n">
        <x:f>AVERAGEIF('DuLieuSach'!$E$2:$E$173,A11,'DuLieuSach'!$H$2:$H$173)</x:f>
        <x:v>2.2361702127659573</x:v>
      </x:c>
    </x:row>
  </x:sheetData>
  <x:mergeCells>
    <x:mergeCell ref="A1:J1"/>
    <x:mergeCell ref="A3:D3"/>
    <x:mergeCell ref="F3:I3"/>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4" hidden="0" customWidth="1"/>
    <x:col min="2" max="2" width="35" hidden="0" customWidth="1"/>
    <x:col min="3" max="3" width="65" hidden="0" customWidth="1"/>
    <x:col min="4" max="4" width="18" hidden="0" customWidth="1"/>
    <x:col min="5" max="5" width="35" hidden="0" customWidth="1"/>
  </x:cols>
  <x:sheetData>
    <x:row r="1" ht="34" customHeight="1">
      <x:c r="A1" s="64" t="str">
        <x:v>KỊCH BẢN TRÌNH BÀY TRÊN BẢNG (8–10 PHÚT)</x:v>
      </x:c>
      <x:c r="B1" s="64" t="str">
        <x:v>KỊCH BẢN TRÌNH BÀY TRÊN BẢNG (8–10 PHÚT)</x:v>
      </x:c>
      <x:c r="C1" s="64" t="str">
        <x:v>KỊCH BẢN TRÌNH BÀY TRÊN BẢNG (8–10 PHÚT)</x:v>
      </x:c>
      <x:c r="D1" s="64" t="str">
        <x:v>KỊCH BẢN TRÌNH BÀY TRÊN BẢNG (8–10 PHÚT)</x:v>
      </x:c>
      <x:c r="E1" s="64" t="str">
        <x:v>KỊCH BẢN TRÌNH BÀY TRÊN BẢNG (8–10 PHÚT)</x:v>
      </x:c>
    </x:row>
    <x:row r="3">
      <x:c r="A3" s="42" t="str">
        <x:v>Thời lượng</x:v>
      </x:c>
      <x:c r="B3" s="42" t="str">
        <x:v>Viết lên bảng</x:v>
      </x:c>
      <x:c r="C3" s="42" t="str">
        <x:v>Nói ngắn gọn</x:v>
      </x:c>
      <x:c r="D3" s="42" t="str">
        <x:v>Mở sheet</x:v>
      </x:c>
      <x:c r="E3" s="42" t="str">
        <x:v>Lưu ý</x:v>
      </x:c>
    </x:row>
    <x:row r="4" ht="56" customHeight="1">
      <x:c r="A4" s="490" t="str">
        <x:v>0:00–0:45</x:v>
      </x:c>
      <x:c r="B4" s="308" t="str">
        <x:v>Đề tài; X = khoảng cách; Y = giá thuê</x:v>
      </x:c>
      <x:c r="C4" s="126" t="str">
        <x:v>Nhóm nghiên cứu mối liên hệ giữa khoảng cách tới trường và giá thuê trọ của sinh viên FPT.</x:v>
      </x:c>
      <x:c r="D4" s="200" t="str">
        <x:v>TrinhBay</x:v>
      </x:c>
      <x:c r="E4" s="126" t="str">
        <x:v>Nói rõ đơn vị km và triệu/tháng</x:v>
      </x:c>
    </x:row>
    <x:row r="5" ht="56" customHeight="1">
      <x:c r="A5" s="491" t="str">
        <x:v>0:45–1:30</x:v>
      </x:c>
      <x:c r="B5" s="494" t="str">
        <x:v>Phần việc cá nhân</x:v>
      </x:c>
      <x:c r="C5" s="127" t="str">
        <x:v>Nêu đúng phần bạn đã thực sự làm; có thể dựa vào ô gợi ý màu vàng.</x:v>
      </x:c>
      <x:c r="D5" s="201" t="str">
        <x:v>TrinhBay</x:v>
      </x:c>
      <x:c r="E5" s="127" t="str">
        <x:v>Không nhận phần của bạn khác</x:v>
      </x:c>
    </x:row>
    <x:row r="6" ht="56" customHeight="1">
      <x:c r="A6" s="491" t="str">
        <x:v>1:30–2:30</x:v>
      </x:c>
      <x:c r="B6" s="494" t="str">
        <x:v>262 → 172 → 127</x:v>
      </x:c>
      <x:c r="C6" s="127" t="str">
        <x:v>262 dòng gốc; làm sạch còn 172; tách 45 KTX, còn 127 trọ ngoài cho hồi quy.</x:v>
      </x:c>
      <x:c r="D6" s="201" t="str">
        <x:v>LamSach</x:v>
      </x:c>
      <x:c r="E6" s="127" t="str">
        <x:v>Giải thích sửa lỗi định dạng nhưng loại dữ liệu thiếu/phi lý</x:v>
      </x:c>
    </x:row>
    <x:row r="7" ht="56" customHeight="1">
      <x:c r="A7" s="491" t="str">
        <x:v>2:30–3:15</x:v>
      </x:c>
      <x:c r="B7" s="494" t="str">
        <x:v>Yi = β0 + β1Xi + εi</x:v>
      </x:c>
      <x:c r="C7" s="127" t="str">
        <x:v>OLS chọn β̂0, β̂1 sao cho tổng bình phương phần dư Σei² nhỏ nhất.</x:v>
      </x:c>
      <x:c r="D7" s="201" t="str">
        <x:v>UocLuongOLS</x:v>
      </x:c>
      <x:c r="E7" s="127" t="str">
        <x:v>Phân biệt β thật và β̂ ước lượng từ mẫu</x:v>
      </x:c>
    </x:row>
    <x:row r="8" ht="56" customHeight="1">
      <x:c r="A8" s="491" t="str">
        <x:v>3:15–4:30</x:v>
      </x:c>
      <x:c r="B8" s="494" t="str">
        <x:v>β̂1 = Sxy/Sxx
β̂0 = ȳ − β̂1x̄</x:v>
      </x:c>
      <x:c r="C8" s="127" t="str">
        <x:v>Tính trung bình, độ lệch khỏi trung bình, rồi lấy đồng biến thiên chia biến thiên của X.</x:v>
      </x:c>
      <x:c r="D8" s="201" t="str">
        <x:v>UocLuongOLS</x:v>
      </x:c>
      <x:c r="E8" s="127" t="str">
        <x:v>Chỉ lần lượt ô B6:B14</x:v>
      </x:c>
    </x:row>
    <x:row r="9" ht="56" customHeight="1">
      <x:c r="A9" s="491" t="str">
        <x:v>4:30–5:30</x:v>
      </x:c>
      <x:c r="B9" s="494" t="str">
        <x:v>Ŷ = 2,833 − 0,175X</x:v>
      </x:c>
      <x:c r="C9" s="127" t="str">
        <x:v>Xa thêm 1 km thì giá thuê trung bình giảm khoảng 175 nghìn đồng/tháng.</x:v>
      </x:c>
      <x:c r="D9" s="201" t="str">
        <x:v>TrinhBay</x:v>
      </x:c>
      <x:c r="E9" s="127" t="str">
        <x:v>Không diễn giải β̂0 như một phòng cụ thể bắt buộc tồn tại</x:v>
      </x:c>
    </x:row>
    <x:row r="10" ht="56" customHeight="1">
      <x:c r="A10" s="491" t="str">
        <x:v>5:30–7:00</x:v>
      </x:c>
      <x:c r="B10" s="494" t="str">
        <x:v>R² = 0,4363
H0: β1=0
p&lt;0,05</x:v>
      </x:c>
      <x:c r="C10" s="127" t="str">
        <x:v>Khoảng cách giải thích 43,63% biến động giá. P-value rất nhỏ nên bác bỏ H0; hệ số âm có ý nghĩa thống kê.</x:v>
      </x:c>
      <x:c r="D10" s="201" t="str">
        <x:v>UocLuongOLS</x:v>
      </x:c>
      <x:c r="E10" s="127" t="str">
        <x:v>Không nói R² là độ chính xác 43,63%</x:v>
      </x:c>
    </x:row>
    <x:row r="11" ht="56" customHeight="1">
      <x:c r="A11" s="491" t="str">
        <x:v>7:00–8:30</x:v>
      </x:c>
      <x:c r="B11" s="494" t="str">
        <x:v>KTX: cơ chế giá khác</x:v>
      </x:c>
      <x:c r="C11" s="127" t="str">
        <x:v>Nếu gộp KTX, hệ số bị đảo dương. Vì vậy giữ KTX để mô tả nhưng không dùng ước lượng giá trọ thị trường.</x:v>
      </x:c>
      <x:c r="D11" s="201" t="str">
        <x:v>SoSanhMau</x:v>
      </x:c>
      <x:c r="E11" s="127" t="str">
        <x:v>Đây là phân tích độ nhạy, không phải xóa dữ liệu tùy ý</x:v>
      </x:c>
    </x:row>
    <x:row r="13" ht="24" customHeight="1">
      <x:c r="A13" s="68" t="str">
        <x:v>Câu hỏi thầy có thể hỏi</x:v>
      </x:c>
      <x:c r="B13" s="68" t="str">
        <x:v>Câu hỏi thầy có thể hỏi</x:v>
      </x:c>
      <x:c r="C13" s="68" t="str">
        <x:v>Câu hỏi thầy có thể hỏi</x:v>
      </x:c>
      <x:c r="D13" s="68" t="str">
        <x:v>Câu hỏi thầy có thể hỏi</x:v>
      </x:c>
      <x:c r="E13" s="68" t="str">
        <x:v>Câu hỏi thầy có thể hỏi</x:v>
      </x:c>
    </x:row>
    <x:row r="14">
      <x:c r="A14" s="42" t="str">
        <x:v>Câu hỏi</x:v>
      </x:c>
      <x:c r="B14" s="42" t="str">
        <x:v>Trả lời gợi ý</x:v>
      </x:c>
      <x:c r="C14" s="42" t="str"/>
      <x:c r="D14" s="42" t="str"/>
      <x:c r="E14" s="42" t="str"/>
    </x:row>
    <x:row r="15" ht="46" customHeight="1">
      <x:c r="A15" s="496" t="str">
        <x:v>Tại sao dùng OLS?</x:v>
      </x:c>
      <x:c r="B15" s="126" t="str">
        <x:v>Vì mô hình tuyến tính và OLS cho ước lượng dễ tính, dễ diễn giải; dưới các giả định Gauss–Markov, OLS là ước lượng tuyến tính không chệch tốt nhất.</x:v>
      </x:c>
      <x:c r="C15" s="126" t="str"/>
      <x:c r="D15" s="126" t="str"/>
      <x:c r="E15" s="126" t="str"/>
    </x:row>
    <x:row r="16" ht="46" customHeight="1">
      <x:c r="A16" s="497" t="str">
        <x:v>β̂1 âm nghĩa là gì?</x:v>
      </x:c>
      <x:c r="B16" s="127" t="str">
        <x:v>Trong mẫu trọ ngoài KTX, xa thêm 1 km gắn với mức giảm trung bình khoảng 0,175 triệu/tháng.</x:v>
      </x:c>
      <x:c r="C16" s="127" t="str"/>
      <x:c r="D16" s="127" t="str"/>
      <x:c r="E16" s="127" t="str"/>
    </x:row>
    <x:row r="17" ht="46" customHeight="1">
      <x:c r="A17" s="497" t="str">
        <x:v>R² = 43,63% nghĩa là gì?</x:v>
      </x:c>
      <x:c r="B17" s="127" t="str">
        <x:v>Khoảng cách giải thích 43,63% biến thiên giá trong mẫu; phần còn lại liên quan loại phòng, nội thất, khu vực và sai số.</x:v>
      </x:c>
      <x:c r="C17" s="127" t="str"/>
      <x:c r="D17" s="127" t="str"/>
      <x:c r="E17" s="127" t="str"/>
    </x:row>
    <x:row r="18" ht="46" customHeight="1">
      <x:c r="A18" s="497" t="str">
        <x:v>p-value dùng để làm gì?</x:v>
      </x:c>
      <x:c r="B18" s="127" t="str">
        <x:v>Đo mức độ dữ liệu mâu thuẫn với H0: β1=0. P rất nhỏ nên bác bỏ H0 ở mức 5%.</x:v>
      </x:c>
      <x:c r="C18" s="127" t="str"/>
      <x:c r="D18" s="127" t="str"/>
      <x:c r="E18" s="127" t="str"/>
    </x:row>
    <x:row r="19" ht="46" customHeight="1">
      <x:c r="A19" s="497" t="str">
        <x:v>Tại sao không dùng KTX?</x:v>
      </x:c>
      <x:c r="B19" s="127" t="str">
        <x:v>KTX có cơ chế giá hành chính khác thị trường. Gộp vào làm đảo dấu β̂1; bảng SoSanhMau chứng minh điều đó.</x:v>
      </x:c>
      <x:c r="C19" s="127" t="str"/>
      <x:c r="D19" s="127" t="str"/>
      <x:c r="E19" s="127" t="str"/>
    </x:row>
    <x:row r="20" ht="46" customHeight="1">
      <x:c r="A20" s="497" t="str">
        <x:v>Có kết luận nhân quả không?</x:v>
      </x:c>
      <x:c r="B20" s="127" t="str">
        <x:v>Không. Đây là hồi quy quan sát đơn biến; kết quả cho thấy mối liên hệ, chưa kiểm soát hết biến nhiễu.</x:v>
      </x:c>
      <x:c r="C20" s="127" t="str"/>
      <x:c r="D20" s="127" t="str"/>
      <x:c r="E20" s="127" t="str"/>
    </x:row>
  </x:sheetData>
  <x:mergeCells>
    <x:mergeCell ref="A1:E1"/>
    <x:mergeCell ref="A13:E13"/>
    <x:mergeCell ref="B15:E15"/>
    <x:mergeCell ref="B16:E16"/>
    <x:mergeCell ref="B17:E17"/>
    <x:mergeCell ref="B18:E18"/>
    <x:mergeCell ref="B19:E19"/>
    <x:mergeCell ref="B20:E20"/>
  </x:mergeCells>
  <x:pageMargins left="0.7" right="0.7" top="0.75" bottom="0.75" header="0.3" footer="0.3"/>
</x:worksheet>
</file>