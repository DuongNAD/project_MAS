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6c48f87ca049de" /></Relationships>
</file>

<file path=xl/workbook.xml><?xml version="1.0" encoding="utf-8"?>
<x:workbook xmlns:x="http://schemas.openxmlformats.org/spreadsheetml/2006/main">
  <x:sheets>
    <x:sheet xmlns:r="http://schemas.openxmlformats.org/officeDocument/2006/relationships" name="DuLieuMau" sheetId="1" r:id="R6c2135269f274d34"/>
    <x:sheet xmlns:r="http://schemas.openxmlformats.org/officeDocument/2006/relationships" name="HuongDan" sheetId="2" r:id="Rbc7df5be75f14bd2"/>
    <x:sheet xmlns:r="http://schemas.openxmlformats.org/officeDocument/2006/relationships" name="KiemTraDuLieu" sheetId="3" r:id="Rf86ce5d380e74174"/>
    <x:sheet xmlns:r="http://schemas.openxmlformats.org/officeDocument/2006/relationships" name="ThongKeMoTa" sheetId="4" r:id="R7d914be2bb974269"/>
    <x:sheet xmlns:r="http://schemas.openxmlformats.org/officeDocument/2006/relationships" name="MauHoiQuy" sheetId="5" r:id="Rf00e6ef85391458e"/>
    <x:sheet xmlns:r="http://schemas.openxmlformats.org/officeDocument/2006/relationships" name="UocLuongOLS" sheetId="6" r:id="Ree9202dd54be49a2"/>
    <x:sheet xmlns:r="http://schemas.openxmlformats.org/officeDocument/2006/relationships" name="KiemDinhDuBao" sheetId="7" r:id="R0354fc017a934b4a"/>
    <x:sheet xmlns:r="http://schemas.openxmlformats.org/officeDocument/2006/relationships" name="SoSanhKTX" sheetId="8" r:id="R77c5c39a7adc4616"/>
    <x:sheet xmlns:r="http://schemas.openxmlformats.org/officeDocument/2006/relationships" name="KichBanNhom" sheetId="9" r:id="R5f35a457046147bf"/>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0"/>
    <x:numFmt numFmtId="201" formatCode="0"/>
    <x:numFmt numFmtId="202" formatCode="0.0000"/>
    <x:numFmt numFmtId="203" formatCode="0.00"/>
    <x:numFmt numFmtId="204" formatCode="0.00E+00"/>
    <x:numFmt numFmtId="205" formatCode="0.000"/>
    <x:numFmt numFmtId="206" formatCode="0.00%"/>
  </x:numFmts>
  <x:fonts count="10">
    <x:font>
      <x:sz val="11"/>
      <x:name val="Carlito"/>
    </x:font>
    <x:font>
      <x:b/>
      <x:sz val="11"/>
      <x:color rgb="FFFFFFFF"/>
      <x:name val="Carlito"/>
    </x:font>
    <x:font>
      <x:b/>
      <x:sz val="17"/>
      <x:color rgb="FFFFFFFF"/>
      <x:name val="Carlito"/>
    </x:font>
    <x:font>
      <x:b/>
      <x:sz val="12"/>
      <x:color rgb="FF2E7D32"/>
      <x:name val="Carlito"/>
    </x:font>
    <x:font>
      <x:b/>
      <x:sz val="11"/>
      <x:color rgb="FF2E7D32"/>
      <x:name val="Carlito"/>
    </x:font>
    <x:font>
      <x:b/>
      <x:sz val="11"/>
      <x:color rgb="FFC00000"/>
      <x:name val="Carlito"/>
    </x:font>
    <x:font>
      <x:i/>
      <x:sz val="11"/>
      <x:color rgb="FF667085"/>
      <x:name val="Carlito"/>
    </x:font>
    <x:font>
      <x:b/>
      <x:sz val="11"/>
      <x:name val="Carlito"/>
    </x:font>
    <x:font>
      <x:b/>
      <x:sz val="15"/>
      <x:color rgb="FFFFFFFF"/>
      <x:name val="Carlito"/>
    </x:font>
    <x:font>
      <x:b/>
      <x:sz val="11"/>
      <x:color rgb="FF255780"/>
      <x:name val="Carlito"/>
    </x:font>
  </x:fonts>
  <x:fills count="10">
    <x:fill>
      <x:patternFill patternType="none"/>
    </x:fill>
    <x:fill>
      <x:patternFill patternType="gray125"/>
    </x:fill>
    <x:fill>
      <x:patternFill patternType="solid">
        <x:fgColor rgb="FF2E7D32"/>
      </x:patternFill>
    </x:fill>
    <x:fill>
      <x:patternFill patternType="solid">
        <x:fgColor rgb="FF255780"/>
      </x:patternFill>
    </x:fill>
    <x:fill>
      <x:patternFill patternType="solid">
        <x:fgColor rgb="FFF8FAFC"/>
      </x:patternFill>
    </x:fill>
    <x:fill>
      <x:patternFill patternType="solid">
        <x:fgColor rgb="FF17324D"/>
      </x:patternFill>
    </x:fill>
    <x:fill>
      <x:patternFill patternType="solid">
        <x:fgColor rgb="FFE8F5E9"/>
      </x:patternFill>
    </x:fill>
    <x:fill>
      <x:patternFill patternType="solid">
        <x:fgColor rgb="FFFFF2CC"/>
      </x:patternFill>
    </x:fill>
    <x:fill>
      <x:patternFill patternType="solid">
        <x:fgColor rgb="FFFCE8E6"/>
      </x:patternFill>
    </x:fill>
    <x:fill>
      <x:patternFill patternType="solid">
        <x:fgColor rgb="FFEAF4FA"/>
      </x:patternFill>
    </x:fill>
  </x:fills>
  <x:borders count="50">
    <x:border/>
    <x:border/>
    <x:border>
      <x:left style="thin">
        <x:color rgb="FFD0D5DD"/>
      </x:left>
      <x:right style="thin">
        <x:color rgb="FFD0D5DD"/>
      </x:right>
      <x:top style="thin">
        <x:color rgb="FFD0D5DD"/>
      </x:top>
      <x:bottom style="thin">
        <x:color rgb="FFD0D5DD"/>
      </x:bottom>
    </x:border>
    <x:border>
      <x:left style="thin">
        <x:color rgb="FFD0D5DD"/>
      </x:left>
      <x:right style="thin">
        <x:color rgb="FFD0D5DD"/>
      </x:right>
      <x:top style="thin">
        <x:color rgb="FFD0D5DD"/>
      </x:top>
      <x:bottom style="thin">
        <x:color rgb="FFD0D5DD"/>
      </x:bottom>
    </x:border>
    <x:border>
      <x:bottom style="thin">
        <x:color rgb="FFEAECF0"/>
      </x:bottom>
    </x:border>
    <x:border>
      <x:top style="thin">
        <x:color rgb="FFEAECF0"/>
      </x:top>
      <x:bottom style="thin">
        <x:color rgb="FFEAECF0"/>
      </x:bottom>
    </x:border>
    <x:border>
      <x:top style="thin">
        <x:color rgb="FFEAECF0"/>
      </x:top>
    </x:border>
    <x:border>
      <x:bottom style="thin">
        <x:color rgb="FFEAECF0"/>
      </x:bottom>
    </x:border>
    <x:border>
      <x:top style="thin">
        <x:color rgb="FFEAECF0"/>
      </x:top>
      <x:bottom style="thin">
        <x:color rgb="FFEAECF0"/>
      </x:bottom>
    </x:border>
    <x:border>
      <x:top style="thin">
        <x:color rgb="FFEAECF0"/>
      </x:top>
    </x:border>
    <x:border>
      <x:bottom style="thin">
        <x:color rgb="FFE5E7EB"/>
      </x:bottom>
    </x:border>
    <x:border>
      <x:top style="thin">
        <x:color rgb="FFE5E7EB"/>
      </x:top>
      <x:bottom style="thin">
        <x:color rgb="FFE5E7EB"/>
      </x:bottom>
    </x:border>
    <x:border>
      <x:top style="thin">
        <x:color rgb="FFE5E7EB"/>
      </x:top>
      <x:bottom style="thin">
        <x:color rgb="FFD0D5DD"/>
      </x:bottom>
    </x:border>
    <x:border>
      <x:bottom style="thin">
        <x:color rgb="FFE5E7EB"/>
      </x:bottom>
    </x:border>
    <x:border>
      <x:top style="thin">
        <x:color rgb="FFE5E7EB"/>
      </x:top>
      <x:bottom style="thin">
        <x:color rgb="FFE5E7EB"/>
      </x:bottom>
    </x:border>
    <x:border>
      <x:top style="thin">
        <x:color rgb="FFE5E7EB"/>
      </x:top>
      <x:bottom style="thin">
        <x:color rgb="FFD0D5DD"/>
      </x:bottom>
    </x:border>
    <x:border>
      <x:left style="thin">
        <x:color rgb="FFE0A800"/>
      </x:left>
      <x:top style="thin">
        <x:color rgb="FFE0A800"/>
      </x:top>
    </x:border>
    <x:border>
      <x:top style="thin">
        <x:color rgb="FFE0A800"/>
      </x:top>
    </x:border>
    <x:border>
      <x:right style="thin">
        <x:color rgb="FFE0A800"/>
      </x:right>
      <x:top style="thin">
        <x:color rgb="FFE0A800"/>
      </x:top>
    </x:border>
    <x:border>
      <x:left style="thin">
        <x:color rgb="FFE0A800"/>
      </x:left>
    </x:border>
    <x:border>
      <x:right style="thin">
        <x:color rgb="FFE0A800"/>
      </x:right>
    </x:border>
    <x:border>
      <x:left style="thin">
        <x:color rgb="FFE0A800"/>
      </x:left>
      <x:bottom style="thin">
        <x:color rgb="FFE0A800"/>
      </x:bottom>
    </x:border>
    <x:border>
      <x:bottom style="thin">
        <x:color rgb="FFE0A800"/>
      </x:bottom>
    </x:border>
    <x:border>
      <x:right style="thin">
        <x:color rgb="FFE0A800"/>
      </x:right>
      <x:bottom style="thin">
        <x:color rgb="FFE0A800"/>
      </x:bottom>
    </x:border>
    <x:border>
      <x:left style="thin">
        <x:color rgb="FFE0A800"/>
      </x:left>
      <x:top style="thin">
        <x:color rgb="FFE0A800"/>
      </x:top>
    </x:border>
    <x:border>
      <x:top style="thin">
        <x:color rgb="FFE0A800"/>
      </x:top>
    </x:border>
    <x:border>
      <x:right style="thin">
        <x:color rgb="FFE0A800"/>
      </x:right>
      <x:top style="thin">
        <x:color rgb="FFE0A800"/>
      </x:top>
    </x:border>
    <x:border>
      <x:left style="thin">
        <x:color rgb="FFE0A800"/>
      </x:left>
    </x:border>
    <x:border>
      <x:right style="thin">
        <x:color rgb="FFE0A800"/>
      </x:right>
    </x:border>
    <x:border>
      <x:left style="thin">
        <x:color rgb="FFE0A800"/>
      </x:left>
      <x:bottom style="thin">
        <x:color rgb="FFE0A800"/>
      </x:bottom>
    </x:border>
    <x:border>
      <x:bottom style="thin">
        <x:color rgb="FFE0A800"/>
      </x:bottom>
    </x:border>
    <x:border>
      <x:right style="thin">
        <x:color rgb="FFE0A800"/>
      </x:right>
      <x:bottom style="thin">
        <x:color rgb="FFE0A800"/>
      </x:bottom>
    </x:border>
    <x:border>
      <x:left style="thin">
        <x:color rgb="FFD0D5DD"/>
      </x:left>
      <x:top style="thin">
        <x:color rgb="FFD0D5DD"/>
      </x:top>
    </x:border>
    <x:border>
      <x:top style="thin">
        <x:color rgb="FFD0D5DD"/>
      </x:top>
    </x:border>
    <x:border>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left style="thin">
        <x:color rgb="FFD0D5DD"/>
      </x:left>
      <x:top style="thin">
        <x:color rgb="FFD0D5DD"/>
      </x:top>
    </x:border>
    <x:border>
      <x:top style="thin">
        <x:color rgb="FFD0D5DD"/>
      </x:top>
    </x:border>
    <x:border>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top style="thin">
        <x:color rgb="FFD0D5DD"/>
      </x:top>
      <x:bottom style="thin">
        <x:color rgb="FFD0D5DD"/>
      </x:bottom>
    </x:border>
    <x:border>
      <x:top style="thin">
        <x:color rgb="FFD0D5DD"/>
      </x:top>
      <x:bottom style="thin">
        <x:color rgb="FFD0D5DD"/>
      </x:bottom>
    </x:border>
  </x:borders>
  <x:cellStyleXfs count="1">
    <x:xf numFmtId="0" fontId="0" fillId="0" borderId="0"/>
  </x:cellStyleXfs>
  <x:cellXfs count="354">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200" fontId="0" fillId="0" borderId="4" xfId="0" applyNumberFormat="1" applyFont="1" applyFill="1" applyBorder="1"/>
    <x:xf numFmtId="200" fontId="0" fillId="0" borderId="5" xfId="0" applyNumberFormat="1" applyFont="1" applyFill="1" applyBorder="1"/>
    <x:xf numFmtId="200" fontId="0" fillId="0" borderId="6" xfId="0" applyNumberFormat="1" applyFont="1" applyFill="1" applyBorder="1"/>
    <x:xf numFmtId="200" fontId="0" fillId="0" borderId="7" xfId="0" applyNumberFormat="1" applyFont="1" applyFill="1" applyBorder="1"/>
    <x:xf numFmtId="200" fontId="0" fillId="0" borderId="8" xfId="0" applyNumberFormat="1" applyFont="1" applyFill="1" applyBorder="1"/>
    <x:xf numFmtId="200" fontId="0" fillId="0" borderId="9" xfId="0" applyNumberFormat="1" applyFont="1" applyFill="1" applyBorder="1"/>
    <x:xf numFmtId="201" fontId="0" fillId="0" borderId="4" xfId="0" applyNumberFormat="1" applyFont="1" applyFill="1" applyBorder="1"/>
    <x:xf numFmtId="201" fontId="0" fillId="0" borderId="5" xfId="0" applyNumberFormat="1" applyFont="1" applyFill="1" applyBorder="1"/>
    <x:xf numFmtId="201" fontId="0" fillId="0" borderId="6" xfId="0" applyNumberFormat="1" applyFont="1" applyFill="1" applyBorder="1"/>
    <x:xf numFmtId="201" fontId="0" fillId="0" borderId="7" xfId="0" applyNumberFormat="1" applyFont="1" applyFill="1" applyBorder="1"/>
    <x:xf numFmtId="201" fontId="0" fillId="0" borderId="8" xfId="0" applyNumberFormat="1" applyFont="1" applyFill="1" applyBorder="1"/>
    <x:xf numFmtId="201" fontId="0" fillId="0" borderId="9"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1" fillId="3" borderId="0" xfId="0" applyNumberFormat="1" applyFont="1" applyFill="1" applyBorder="1"/>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2" xfId="0" applyNumberFormat="1" applyFont="1" applyFill="1" applyBorder="1" applyAlignment="1">
      <x:alignment wrapText="1"/>
    </x:xf>
    <x:xf numFmtId="0" fontId="1" fillId="3" borderId="3" xfId="0" applyNumberFormat="1" applyFont="1" applyFill="1" applyBorder="1" applyAlignment="1">
      <x:alignment wrapText="1"/>
    </x:xf>
    <x:xf numFmtId="0" fontId="1" fillId="3" borderId="2" xfId="0" applyNumberFormat="1" applyFont="1" applyFill="1" applyBorder="1" applyAlignment="1">
      <x:alignment horizontal="center" wrapText="1"/>
    </x:xf>
    <x:xf numFmtId="0" fontId="1" fillId="3" borderId="3" xfId="0" applyNumberFormat="1" applyFont="1" applyFill="1" applyBorder="1" applyAlignment="1">
      <x:alignment horizontal="center" wrapText="1"/>
    </x:xf>
    <x:xf numFmtId="0" fontId="1" fillId="3" borderId="2" xfId="0" applyNumberFormat="1" applyFont="1" applyFill="1" applyBorder="1" applyAlignment="1">
      <x:alignment horizontal="center" vertical="center" wrapText="1"/>
    </x:xf>
    <x:xf numFmtId="0" fontId="1" fillId="3" borderId="3" xfId="0" applyNumberFormat="1" applyFont="1" applyFill="1" applyBorder="1" applyAlignment="1">
      <x:alignment horizontal="center" vertical="center" wrapText="1"/>
    </x:xf>
    <x:xf numFmtId="202" fontId="0" fillId="0" borderId="0" xfId="0" applyNumberFormat="1" applyFont="1" applyFill="1" applyBorder="1"/>
    <x:xf numFmtId="202" fontId="0" fillId="0" borderId="1" xfId="0" applyNumberFormat="1" applyFont="1" applyFill="1" applyBorder="1"/>
    <x:xf numFmtId="202" fontId="0" fillId="4" borderId="0" xfId="0" applyNumberFormat="1" applyFont="1" applyFill="1" applyBorder="1"/>
    <x:xf numFmtId="202" fontId="0" fillId="4" borderId="1" xfId="0" applyNumberFormat="1" applyFont="1" applyFill="1" applyBorder="1"/>
    <x:xf numFmtId="0" fontId="0" fillId="0" borderId="10" xfId="0" applyNumberFormat="1" applyFont="1" applyFill="1" applyBorder="1"/>
    <x:xf numFmtId="202" fontId="0" fillId="0" borderId="10" xfId="0" applyNumberFormat="1" applyFont="1" applyFill="1" applyBorder="1"/>
    <x:xf numFmtId="202" fontId="0" fillId="4" borderId="10" xfId="0" applyNumberFormat="1" applyFont="1" applyFill="1" applyBorder="1"/>
    <x:xf numFmtId="0" fontId="0" fillId="0" borderId="11" xfId="0" applyNumberFormat="1" applyFont="1" applyFill="1" applyBorder="1"/>
    <x:xf numFmtId="202" fontId="0" fillId="0" borderId="11" xfId="0" applyNumberFormat="1" applyFont="1" applyFill="1" applyBorder="1"/>
    <x:xf numFmtId="202" fontId="0" fillId="4" borderId="11" xfId="0" applyNumberFormat="1" applyFont="1" applyFill="1" applyBorder="1"/>
    <x:xf numFmtId="0" fontId="0" fillId="0" borderId="12" xfId="0" applyNumberFormat="1" applyFont="1" applyFill="1" applyBorder="1"/>
    <x:xf numFmtId="202" fontId="0" fillId="0" borderId="12" xfId="0" applyNumberFormat="1" applyFont="1" applyFill="1" applyBorder="1"/>
    <x:xf numFmtId="202" fontId="0" fillId="4" borderId="12" xfId="0" applyNumberFormat="1" applyFont="1" applyFill="1" applyBorder="1"/>
    <x:xf numFmtId="0" fontId="0" fillId="0" borderId="13" xfId="0" applyNumberFormat="1" applyFont="1" applyFill="1" applyBorder="1"/>
    <x:xf numFmtId="202" fontId="0" fillId="0" borderId="13" xfId="0" applyNumberFormat="1" applyFont="1" applyFill="1" applyBorder="1"/>
    <x:xf numFmtId="202" fontId="0" fillId="4" borderId="13" xfId="0" applyNumberFormat="1" applyFont="1" applyFill="1" applyBorder="1"/>
    <x:xf numFmtId="0" fontId="0" fillId="0" borderId="14" xfId="0" applyNumberFormat="1" applyFont="1" applyFill="1" applyBorder="1"/>
    <x:xf numFmtId="202" fontId="0" fillId="0" borderId="14" xfId="0" applyNumberFormat="1" applyFont="1" applyFill="1" applyBorder="1"/>
    <x:xf numFmtId="202" fontId="0" fillId="4" borderId="14" xfId="0" applyNumberFormat="1" applyFont="1" applyFill="1" applyBorder="1"/>
    <x:xf numFmtId="0" fontId="0" fillId="0" borderId="15" xfId="0" applyNumberFormat="1" applyFont="1" applyFill="1" applyBorder="1"/>
    <x:xf numFmtId="202" fontId="0" fillId="0" borderId="15" xfId="0" applyNumberFormat="1" applyFont="1" applyFill="1" applyBorder="1"/>
    <x:xf numFmtId="202" fontId="0" fillId="4" borderId="15" xfId="0" applyNumberFormat="1" applyFont="1" applyFill="1" applyBorder="1"/>
    <x:xf numFmtId="0" fontId="0" fillId="0" borderId="10" xfId="0" applyNumberFormat="1" applyFont="1" applyFill="1" applyBorder="1" applyAlignment="1">
      <x:alignment vertical="center"/>
    </x:xf>
    <x:xf numFmtId="202" fontId="0" fillId="0" borderId="10" xfId="0" applyNumberFormat="1" applyFont="1" applyFill="1" applyBorder="1" applyAlignment="1">
      <x:alignment vertical="center"/>
    </x:xf>
    <x:xf numFmtId="202" fontId="0" fillId="4" borderId="10" xfId="0" applyNumberFormat="1" applyFont="1" applyFill="1" applyBorder="1" applyAlignment="1">
      <x:alignment vertical="center"/>
    </x:xf>
    <x:xf numFmtId="0" fontId="0" fillId="0" borderId="11" xfId="0" applyNumberFormat="1" applyFont="1" applyFill="1" applyBorder="1" applyAlignment="1">
      <x:alignment vertical="center"/>
    </x:xf>
    <x:xf numFmtId="202" fontId="0" fillId="0" borderId="11" xfId="0" applyNumberFormat="1" applyFont="1" applyFill="1" applyBorder="1" applyAlignment="1">
      <x:alignment vertical="center"/>
    </x:xf>
    <x:xf numFmtId="202" fontId="0" fillId="4" borderId="11" xfId="0" applyNumberFormat="1" applyFont="1" applyFill="1" applyBorder="1" applyAlignment="1">
      <x:alignment vertical="center"/>
    </x:xf>
    <x:xf numFmtId="0" fontId="0" fillId="0" borderId="12" xfId="0" applyNumberFormat="1" applyFont="1" applyFill="1" applyBorder="1" applyAlignment="1">
      <x:alignment vertical="center"/>
    </x:xf>
    <x:xf numFmtId="202" fontId="0" fillId="0" borderId="12" xfId="0" applyNumberFormat="1" applyFont="1" applyFill="1" applyBorder="1" applyAlignment="1">
      <x:alignment vertical="center"/>
    </x:xf>
    <x:xf numFmtId="202" fontId="0" fillId="4" borderId="12" xfId="0" applyNumberFormat="1" applyFont="1" applyFill="1" applyBorder="1" applyAlignment="1">
      <x:alignment vertical="center"/>
    </x:xf>
    <x:xf numFmtId="0" fontId="0" fillId="0" borderId="13" xfId="0" applyNumberFormat="1" applyFont="1" applyFill="1" applyBorder="1" applyAlignment="1">
      <x:alignment vertical="center"/>
    </x:xf>
    <x:xf numFmtId="202" fontId="0" fillId="0" borderId="13" xfId="0" applyNumberFormat="1" applyFont="1" applyFill="1" applyBorder="1" applyAlignment="1">
      <x:alignment vertical="center"/>
    </x:xf>
    <x:xf numFmtId="202" fontId="0" fillId="4" borderId="13" xfId="0" applyNumberFormat="1" applyFont="1" applyFill="1" applyBorder="1" applyAlignment="1">
      <x:alignment vertical="center"/>
    </x:xf>
    <x:xf numFmtId="0" fontId="0" fillId="0" borderId="14" xfId="0" applyNumberFormat="1" applyFont="1" applyFill="1" applyBorder="1" applyAlignment="1">
      <x:alignment vertical="center"/>
    </x:xf>
    <x:xf numFmtId="202" fontId="0" fillId="0" borderId="14" xfId="0" applyNumberFormat="1" applyFont="1" applyFill="1" applyBorder="1" applyAlignment="1">
      <x:alignment vertical="center"/>
    </x:xf>
    <x:xf numFmtId="202" fontId="0" fillId="4" borderId="14" xfId="0" applyNumberFormat="1" applyFont="1" applyFill="1" applyBorder="1" applyAlignment="1">
      <x:alignment vertical="center"/>
    </x:xf>
    <x:xf numFmtId="0" fontId="0" fillId="0" borderId="15" xfId="0" applyNumberFormat="1" applyFont="1" applyFill="1" applyBorder="1" applyAlignment="1">
      <x:alignment vertical="center"/>
    </x:xf>
    <x:xf numFmtId="202" fontId="0" fillId="0" borderId="15" xfId="0" applyNumberFormat="1" applyFont="1" applyFill="1" applyBorder="1" applyAlignment="1">
      <x:alignment vertical="center"/>
    </x:xf>
    <x:xf numFmtId="202" fontId="0" fillId="4" borderId="15" xfId="0" applyNumberFormat="1" applyFont="1" applyFill="1" applyBorder="1" applyAlignment="1">
      <x:alignment vertical="center"/>
    </x:xf>
    <x:xf numFmtId="0" fontId="0" fillId="5" borderId="0" xfId="0" applyNumberFormat="1" applyFont="1" applyFill="1" applyBorder="1"/>
    <x:xf numFmtId="0" fontId="0" fillId="5" borderId="1"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0" xfId="0" applyNumberFormat="1" applyFont="1" applyFill="1" applyBorder="1" applyAlignment="1">
      <x:alignment vertical="center"/>
    </x:xf>
    <x:xf numFmtId="0" fontId="2" fillId="5" borderId="1"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0" fillId="6" borderId="0" xfId="0" applyNumberFormat="1" applyFont="1" applyFill="1" applyBorder="1"/>
    <x:xf numFmtId="0" fontId="0" fillId="6" borderId="1" xfId="0" applyNumberFormat="1" applyFont="1" applyFill="1" applyBorder="1"/>
    <x:xf numFmtId="0" fontId="3" fillId="6" borderId="0"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horizontal="center"/>
    </x:xf>
    <x:xf numFmtId="0" fontId="3" fillId="6" borderId="1" xfId="0" applyNumberFormat="1" applyFont="1" applyFill="1" applyBorder="1" applyAlignment="1">
      <x:alignment horizontal="center"/>
    </x:xf>
    <x:xf numFmtId="202" fontId="1" fillId="3" borderId="0" xfId="0" applyNumberFormat="1" applyFont="1" applyFill="1" applyBorder="1" applyAlignment="1">
      <x:alignment vertical="center"/>
    </x:xf>
    <x:xf numFmtId="202" fontId="1" fillId="3" borderId="2" xfId="0" applyNumberFormat="1" applyFont="1" applyFill="1" applyBorder="1" applyAlignment="1">
      <x:alignment horizontal="center" vertical="center" wrapText="1"/>
    </x:xf>
    <x:xf numFmtId="202" fontId="3" fillId="6" borderId="0" xfId="0" applyNumberFormat="1" applyFont="1" applyFill="1" applyBorder="1" applyAlignment="1">
      <x:alignment horizontal="center"/>
    </x:xf>
    <x:xf numFmtId="202" fontId="1" fillId="3" borderId="1" xfId="0" applyNumberFormat="1" applyFont="1" applyFill="1" applyBorder="1" applyAlignment="1">
      <x:alignment vertical="center"/>
    </x:xf>
    <x:xf numFmtId="202" fontId="1" fillId="3" borderId="3" xfId="0" applyNumberFormat="1" applyFont="1" applyFill="1" applyBorder="1" applyAlignment="1">
      <x:alignment horizontal="center" vertical="center" wrapText="1"/>
    </x:xf>
    <x:xf numFmtId="202" fontId="3" fillId="6" borderId="1" xfId="0" applyNumberFormat="1" applyFont="1" applyFill="1" applyBorder="1" applyAlignment="1">
      <x:alignment horizontal="center"/>
    </x:xf>
    <x:xf numFmtId="201" fontId="0" fillId="0" borderId="0" xfId="0" applyNumberFormat="1" applyFont="1" applyFill="1" applyBorder="1"/>
    <x:xf numFmtId="201" fontId="0" fillId="0" borderId="1" xfId="0" applyNumberFormat="1" applyFont="1" applyFill="1" applyBorder="1"/>
    <x:xf numFmtId="201" fontId="0" fillId="0" borderId="10" xfId="0" applyNumberFormat="1" applyFont="1" applyFill="1" applyBorder="1"/>
    <x:xf numFmtId="201" fontId="0" fillId="0" borderId="13" xfId="0" applyNumberFormat="1" applyFont="1" applyFill="1" applyBorder="1"/>
    <x:xf numFmtId="201" fontId="0" fillId="0" borderId="10" xfId="0" applyNumberFormat="1" applyFont="1" applyFill="1" applyBorder="1" applyAlignment="1">
      <x:alignment vertical="center"/>
    </x:xf>
    <x:xf numFmtId="201" fontId="0" fillId="0" borderId="13" xfId="0" applyNumberFormat="1" applyFont="1" applyFill="1" applyBorder="1" applyAlignment="1">
      <x:alignment vertical="center"/>
    </x:xf>
    <x:xf numFmtId="0" fontId="0" fillId="0" borderId="10"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0" fillId="0" borderId="12"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3" borderId="0" xfId="0" applyNumberFormat="1" applyFont="1" applyFill="1" applyBorder="1" applyAlignment="1">
      <x:alignment vertical="center" wrapText="1"/>
    </x:xf>
    <x:xf numFmtId="0" fontId="3" fillId="6" borderId="0" xfId="0" applyNumberFormat="1" applyFont="1" applyFill="1" applyBorder="1" applyAlignment="1">
      <x:alignment horizontal="center" wrapText="1"/>
    </x:xf>
    <x:xf numFmtId="0" fontId="0" fillId="0" borderId="13" xfId="0" applyNumberFormat="1" applyFont="1" applyFill="1" applyBorder="1" applyAlignment="1">
      <x:alignment vertical="center" wrapText="1"/>
    </x:xf>
    <x:xf numFmtId="0" fontId="0" fillId="0" borderId="14"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 xfId="0" applyNumberFormat="1" applyFont="1" applyFill="1" applyBorder="1" applyAlignment="1">
      <x:alignment wrapText="1"/>
    </x:xf>
    <x:xf numFmtId="0" fontId="1" fillId="3" borderId="1" xfId="0" applyNumberFormat="1" applyFont="1" applyFill="1" applyBorder="1" applyAlignment="1">
      <x:alignment vertical="center" wrapText="1"/>
    </x:xf>
    <x:xf numFmtId="0" fontId="3" fillId="6" borderId="1" xfId="0" applyNumberFormat="1" applyFont="1" applyFill="1" applyBorder="1" applyAlignment="1">
      <x:alignment horizontal="center" wrapText="1"/>
    </x:xf>
    <x:xf numFmtId="0" fontId="4" fillId="6" borderId="0" xfId="0" applyNumberFormat="1" applyFont="1" applyFill="1" applyBorder="1"/>
    <x:xf numFmtId="0" fontId="4" fillId="6" borderId="1" xfId="0" applyNumberFormat="1" applyFont="1" applyFill="1" applyBorder="1"/>
    <x:xf numFmtId="0" fontId="4" fillId="6" borderId="12" xfId="0" applyNumberFormat="1" applyFont="1" applyFill="1" applyBorder="1"/>
    <x:xf numFmtId="0" fontId="4" fillId="6" borderId="15" xfId="0" applyNumberFormat="1" applyFont="1" applyFill="1" applyBorder="1"/>
    <x:xf numFmtId="0" fontId="4" fillId="6" borderId="12" xfId="0" applyNumberFormat="1" applyFont="1" applyFill="1" applyBorder="1" applyAlignment="1">
      <x:alignment vertical="center"/>
    </x:xf>
    <x:xf numFmtId="0" fontId="4" fillId="6" borderId="15" xfId="0" applyNumberFormat="1" applyFont="1" applyFill="1" applyBorder="1" applyAlignment="1">
      <x:alignment vertical="center"/>
    </x:xf>
    <x:xf numFmtId="203" fontId="0" fillId="0" borderId="0" xfId="0" applyNumberFormat="1" applyFont="1" applyFill="1" applyBorder="1"/>
    <x:xf numFmtId="203" fontId="0" fillId="0" borderId="1" xfId="0" applyNumberFormat="1" applyFont="1" applyFill="1" applyBorder="1"/>
    <x:xf numFmtId="203" fontId="0" fillId="0" borderId="10" xfId="0" applyNumberFormat="1" applyFont="1" applyFill="1" applyBorder="1"/>
    <x:xf numFmtId="203" fontId="0" fillId="0" borderId="11" xfId="0" applyNumberFormat="1" applyFont="1" applyFill="1" applyBorder="1"/>
    <x:xf numFmtId="203" fontId="0" fillId="0" borderId="12" xfId="0" applyNumberFormat="1" applyFont="1" applyFill="1" applyBorder="1"/>
    <x:xf numFmtId="203" fontId="0" fillId="0" borderId="13" xfId="0" applyNumberFormat="1" applyFont="1" applyFill="1" applyBorder="1"/>
    <x:xf numFmtId="203" fontId="0" fillId="0" borderId="14" xfId="0" applyNumberFormat="1" applyFont="1" applyFill="1" applyBorder="1"/>
    <x:xf numFmtId="203" fontId="0" fillId="0" borderId="15" xfId="0" applyNumberFormat="1" applyFont="1" applyFill="1" applyBorder="1"/>
    <x:xf numFmtId="203" fontId="0" fillId="0" borderId="10" xfId="0" applyNumberFormat="1" applyFont="1" applyFill="1" applyBorder="1" applyAlignment="1">
      <x:alignment vertical="center"/>
    </x:xf>
    <x:xf numFmtId="203" fontId="0" fillId="0" borderId="11" xfId="0" applyNumberFormat="1" applyFont="1" applyFill="1" applyBorder="1" applyAlignment="1">
      <x:alignment vertical="center"/>
    </x:xf>
    <x:xf numFmtId="203" fontId="0" fillId="0" borderId="12" xfId="0" applyNumberFormat="1" applyFont="1" applyFill="1" applyBorder="1" applyAlignment="1">
      <x:alignment vertical="center"/>
    </x:xf>
    <x:xf numFmtId="203" fontId="0" fillId="0" borderId="13" xfId="0" applyNumberFormat="1" applyFont="1" applyFill="1" applyBorder="1" applyAlignment="1">
      <x:alignment vertical="center"/>
    </x:xf>
    <x:xf numFmtId="203" fontId="0" fillId="0" borderId="14" xfId="0" applyNumberFormat="1" applyFont="1" applyFill="1" applyBorder="1" applyAlignment="1">
      <x:alignment vertical="center"/>
    </x:xf>
    <x:xf numFmtId="203" fontId="0" fillId="0" borderId="15" xfId="0" applyNumberFormat="1" applyFont="1" applyFill="1" applyBorder="1" applyAlignment="1">
      <x:alignment vertical="center"/>
    </x:xf>
    <x:xf numFmtId="204" fontId="0" fillId="0" borderId="0" xfId="0" applyNumberFormat="1" applyFont="1" applyFill="1" applyBorder="1"/>
    <x:xf numFmtId="204" fontId="0" fillId="0" borderId="1" xfId="0" applyNumberFormat="1" applyFont="1" applyFill="1" applyBorder="1"/>
    <x:xf numFmtId="204" fontId="0" fillId="0" borderId="11" xfId="0" applyNumberFormat="1" applyFont="1" applyFill="1" applyBorder="1"/>
    <x:xf numFmtId="204" fontId="0" fillId="0" borderId="14" xfId="0" applyNumberFormat="1" applyFont="1" applyFill="1" applyBorder="1"/>
    <x:xf numFmtId="204" fontId="0" fillId="0" borderId="11" xfId="0" applyNumberFormat="1" applyFont="1" applyFill="1" applyBorder="1" applyAlignment="1">
      <x:alignment vertical="center"/>
    </x:xf>
    <x:xf numFmtId="204" fontId="0" fillId="0" borderId="14" xfId="0" applyNumberFormat="1" applyFont="1" applyFill="1" applyBorder="1" applyAlignment="1">
      <x:alignment vertical="center"/>
    </x:xf>
    <x:xf numFmtId="0" fontId="0" fillId="7" borderId="0" xfId="0" applyNumberFormat="1" applyFont="1" applyFill="1" applyBorder="1"/>
    <x:xf numFmtId="0" fontId="0" fillId="7" borderId="1" xfId="0" applyNumberFormat="1" applyFont="1" applyFill="1" applyBorder="1"/>
    <x:xf numFmtId="0" fontId="5" fillId="7" borderId="0" xfId="0" applyNumberFormat="1" applyFont="1" applyFill="1" applyBorder="1"/>
    <x:xf numFmtId="0" fontId="5" fillId="7" borderId="1" xfId="0" applyNumberFormat="1" applyFont="1" applyFill="1" applyBorder="1"/>
    <x:xf numFmtId="202" fontId="5" fillId="7" borderId="0" xfId="0" applyNumberFormat="1" applyFont="1" applyFill="1" applyBorder="1"/>
    <x:xf numFmtId="202" fontId="5" fillId="7" borderId="1" xfId="0" applyNumberFormat="1" applyFont="1" applyFill="1" applyBorder="1"/>
    <x:xf numFmtId="202" fontId="5" fillId="7" borderId="10" xfId="0" applyNumberFormat="1" applyFont="1" applyFill="1" applyBorder="1"/>
    <x:xf numFmtId="202" fontId="5" fillId="7" borderId="13" xfId="0" applyNumberFormat="1" applyFont="1" applyFill="1" applyBorder="1"/>
    <x:xf numFmtId="202" fontId="5" fillId="7" borderId="10" xfId="0" applyNumberFormat="1" applyFont="1" applyFill="1" applyBorder="1" applyAlignment="1">
      <x:alignment vertical="center"/>
    </x:xf>
    <x:xf numFmtId="202" fontId="5" fillId="7" borderId="13" xfId="0" applyNumberFormat="1" applyFont="1" applyFill="1" applyBorder="1" applyAlignment="1">
      <x:alignment vertical="center"/>
    </x:xf>
    <x:xf numFmtId="0" fontId="0" fillId="8" borderId="0" xfId="0" applyNumberFormat="1" applyFont="1" applyFill="1" applyBorder="1"/>
    <x:xf numFmtId="201" fontId="0" fillId="8" borderId="0" xfId="0" applyNumberFormat="1" applyFont="1" applyFill="1" applyBorder="1"/>
    <x:xf numFmtId="202" fontId="0" fillId="8" borderId="0" xfId="0" applyNumberFormat="1" applyFont="1" applyFill="1" applyBorder="1"/>
    <x:xf numFmtId="0" fontId="0" fillId="8" borderId="1" xfId="0" applyNumberFormat="1" applyFont="1" applyFill="1" applyBorder="1"/>
    <x:xf numFmtId="201" fontId="0" fillId="8" borderId="1" xfId="0" applyNumberFormat="1" applyFont="1" applyFill="1" applyBorder="1"/>
    <x:xf numFmtId="202" fontId="0" fillId="8" borderId="1" xfId="0" applyNumberFormat="1" applyFont="1" applyFill="1" applyBorder="1"/>
    <x:xf numFmtId="201" fontId="0" fillId="6" borderId="0" xfId="0" applyNumberFormat="1" applyFont="1" applyFill="1" applyBorder="1"/>
    <x:xf numFmtId="202" fontId="0" fillId="6" borderId="0" xfId="0" applyNumberFormat="1" applyFont="1" applyFill="1" applyBorder="1"/>
    <x:xf numFmtId="201" fontId="0" fillId="6" borderId="1" xfId="0" applyNumberFormat="1" applyFont="1" applyFill="1" applyBorder="1"/>
    <x:xf numFmtId="202" fontId="0" fillId="6" borderId="1" xfId="0" applyNumberFormat="1" applyFont="1" applyFill="1" applyBorder="1"/>
    <x:xf numFmtId="0" fontId="0" fillId="8" borderId="10" xfId="0" applyNumberFormat="1" applyFont="1" applyFill="1" applyBorder="1"/>
    <x:xf numFmtId="201" fontId="0" fillId="8" borderId="10" xfId="0" applyNumberFormat="1" applyFont="1" applyFill="1" applyBorder="1"/>
    <x:xf numFmtId="202" fontId="0" fillId="8" borderId="10" xfId="0" applyNumberFormat="1" applyFont="1" applyFill="1" applyBorder="1"/>
    <x:xf numFmtId="0" fontId="0" fillId="6" borderId="11" xfId="0" applyNumberFormat="1" applyFont="1" applyFill="1" applyBorder="1"/>
    <x:xf numFmtId="201" fontId="0" fillId="6" borderId="11" xfId="0" applyNumberFormat="1" applyFont="1" applyFill="1" applyBorder="1"/>
    <x:xf numFmtId="202" fontId="0" fillId="6" borderId="11" xfId="0" applyNumberFormat="1" applyFont="1" applyFill="1" applyBorder="1"/>
    <x:xf numFmtId="0" fontId="0" fillId="8" borderId="13" xfId="0" applyNumberFormat="1" applyFont="1" applyFill="1" applyBorder="1"/>
    <x:xf numFmtId="201" fontId="0" fillId="8" borderId="13" xfId="0" applyNumberFormat="1" applyFont="1" applyFill="1" applyBorder="1"/>
    <x:xf numFmtId="202" fontId="0" fillId="8" borderId="13" xfId="0" applyNumberFormat="1" applyFont="1" applyFill="1" applyBorder="1"/>
    <x:xf numFmtId="0" fontId="0" fillId="6" borderId="14" xfId="0" applyNumberFormat="1" applyFont="1" applyFill="1" applyBorder="1"/>
    <x:xf numFmtId="201" fontId="0" fillId="6" borderId="14" xfId="0" applyNumberFormat="1" applyFont="1" applyFill="1" applyBorder="1"/>
    <x:xf numFmtId="202" fontId="0" fillId="6" borderId="14" xfId="0" applyNumberFormat="1" applyFont="1" applyFill="1" applyBorder="1"/>
    <x:xf numFmtId="0" fontId="0" fillId="8" borderId="10" xfId="0" applyNumberFormat="1" applyFont="1" applyFill="1" applyBorder="1" applyAlignment="1">
      <x:alignment vertical="center"/>
    </x:xf>
    <x:xf numFmtId="201" fontId="0" fillId="8" borderId="10" xfId="0" applyNumberFormat="1" applyFont="1" applyFill="1" applyBorder="1" applyAlignment="1">
      <x:alignment vertical="center"/>
    </x:xf>
    <x:xf numFmtId="202" fontId="0" fillId="8" borderId="10" xfId="0" applyNumberFormat="1" applyFont="1" applyFill="1" applyBorder="1" applyAlignment="1">
      <x:alignment vertical="center"/>
    </x:xf>
    <x:xf numFmtId="0" fontId="0" fillId="6" borderId="11" xfId="0" applyNumberFormat="1" applyFont="1" applyFill="1" applyBorder="1" applyAlignment="1">
      <x:alignment vertical="center"/>
    </x:xf>
    <x:xf numFmtId="201" fontId="0" fillId="6" borderId="11" xfId="0" applyNumberFormat="1" applyFont="1" applyFill="1" applyBorder="1" applyAlignment="1">
      <x:alignment vertical="center"/>
    </x:xf>
    <x:xf numFmtId="202" fontId="0" fillId="6" borderId="11" xfId="0" applyNumberFormat="1" applyFont="1" applyFill="1" applyBorder="1" applyAlignment="1">
      <x:alignment vertical="center"/>
    </x:xf>
    <x:xf numFmtId="0" fontId="0" fillId="8" borderId="13" xfId="0" applyNumberFormat="1" applyFont="1" applyFill="1" applyBorder="1" applyAlignment="1">
      <x:alignment vertical="center"/>
    </x:xf>
    <x:xf numFmtId="201" fontId="0" fillId="8" borderId="13" xfId="0" applyNumberFormat="1" applyFont="1" applyFill="1" applyBorder="1" applyAlignment="1">
      <x:alignment vertical="center"/>
    </x:xf>
    <x:xf numFmtId="202" fontId="0" fillId="8" borderId="13" xfId="0" applyNumberFormat="1" applyFont="1" applyFill="1" applyBorder="1" applyAlignment="1">
      <x:alignment vertical="center"/>
    </x:xf>
    <x:xf numFmtId="0" fontId="0" fillId="6" borderId="14" xfId="0" applyNumberFormat="1" applyFont="1" applyFill="1" applyBorder="1" applyAlignment="1">
      <x:alignment vertical="center"/>
    </x:xf>
    <x:xf numFmtId="201" fontId="0" fillId="6" borderId="14" xfId="0" applyNumberFormat="1" applyFont="1" applyFill="1" applyBorder="1" applyAlignment="1">
      <x:alignment vertical="center"/>
    </x:xf>
    <x:xf numFmtId="202" fontId="0" fillId="6" borderId="14" xfId="0" applyNumberFormat="1" applyFont="1" applyFill="1" applyBorder="1" applyAlignment="1">
      <x:alignment vertical="center"/>
    </x:xf>
    <x:xf numFmtId="0" fontId="0" fillId="7" borderId="16" xfId="0" applyNumberFormat="1" applyFont="1" applyFill="1" applyBorder="1"/>
    <x:xf numFmtId="0" fontId="0" fillId="7" borderId="17" xfId="0" applyNumberFormat="1" applyFont="1" applyFill="1" applyBorder="1"/>
    <x:xf numFmtId="0" fontId="0" fillId="7" borderId="18" xfId="0" applyNumberFormat="1" applyFont="1" applyFill="1" applyBorder="1"/>
    <x:xf numFmtId="0" fontId="0" fillId="7" borderId="19" xfId="0" applyNumberFormat="1" applyFont="1" applyFill="1" applyBorder="1"/>
    <x:xf numFmtId="0" fontId="0" fillId="7" borderId="20" xfId="0" applyNumberFormat="1" applyFont="1" applyFill="1" applyBorder="1"/>
    <x:xf numFmtId="0" fontId="0" fillId="7" borderId="21" xfId="0" applyNumberFormat="1" applyFont="1" applyFill="1" applyBorder="1"/>
    <x:xf numFmtId="0" fontId="0" fillId="7" borderId="22" xfId="0" applyNumberFormat="1" applyFont="1" applyFill="1" applyBorder="1"/>
    <x:xf numFmtId="0" fontId="0" fillId="7" borderId="23" xfId="0" applyNumberFormat="1" applyFont="1" applyFill="1" applyBorder="1"/>
    <x:xf numFmtId="0" fontId="0" fillId="7" borderId="24" xfId="0" applyNumberFormat="1" applyFont="1" applyFill="1" applyBorder="1"/>
    <x:xf numFmtId="0" fontId="0" fillId="7" borderId="25" xfId="0" applyNumberFormat="1" applyFont="1" applyFill="1" applyBorder="1"/>
    <x:xf numFmtId="0" fontId="0" fillId="7" borderId="26" xfId="0" applyNumberFormat="1" applyFont="1" applyFill="1" applyBorder="1"/>
    <x:xf numFmtId="0" fontId="0" fillId="7" borderId="27" xfId="0" applyNumberFormat="1" applyFont="1" applyFill="1" applyBorder="1"/>
    <x:xf numFmtId="0" fontId="0" fillId="7" borderId="28" xfId="0" applyNumberFormat="1" applyFont="1" applyFill="1" applyBorder="1"/>
    <x:xf numFmtId="0" fontId="0" fillId="7" borderId="29" xfId="0" applyNumberFormat="1" applyFont="1" applyFill="1" applyBorder="1"/>
    <x:xf numFmtId="0" fontId="0" fillId="7" borderId="30" xfId="0" applyNumberFormat="1" applyFont="1" applyFill="1" applyBorder="1"/>
    <x:xf numFmtId="0" fontId="0" fillId="7" borderId="31" xfId="0" applyNumberFormat="1" applyFont="1" applyFill="1" applyBorder="1"/>
    <x:xf numFmtId="0" fontId="0" fillId="7" borderId="16" xfId="0" applyNumberFormat="1" applyFont="1" applyFill="1" applyBorder="1" applyAlignment="1">
      <x:alignment wrapText="1"/>
    </x:xf>
    <x:xf numFmtId="0" fontId="0" fillId="7" borderId="17" xfId="0" applyNumberFormat="1" applyFont="1" applyFill="1" applyBorder="1" applyAlignment="1">
      <x:alignment wrapText="1"/>
    </x:xf>
    <x:xf numFmtId="0" fontId="0" fillId="7" borderId="18" xfId="0" applyNumberFormat="1" applyFont="1" applyFill="1" applyBorder="1" applyAlignment="1">
      <x:alignment wrapText="1"/>
    </x:xf>
    <x:xf numFmtId="0" fontId="0" fillId="7" borderId="19"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20" xfId="0" applyNumberFormat="1" applyFont="1" applyFill="1" applyBorder="1" applyAlignment="1">
      <x:alignment wrapText="1"/>
    </x:xf>
    <x:xf numFmtId="0" fontId="0" fillId="7" borderId="21" xfId="0" applyNumberFormat="1" applyFont="1" applyFill="1" applyBorder="1" applyAlignment="1">
      <x:alignment wrapText="1"/>
    </x:xf>
    <x:xf numFmtId="0" fontId="0" fillId="7" borderId="22" xfId="0" applyNumberFormat="1" applyFont="1" applyFill="1" applyBorder="1" applyAlignment="1">
      <x:alignment wrapText="1"/>
    </x:xf>
    <x:xf numFmtId="0" fontId="0" fillId="7" borderId="23" xfId="0" applyNumberFormat="1" applyFont="1" applyFill="1" applyBorder="1" applyAlignment="1">
      <x:alignment wrapText="1"/>
    </x:xf>
    <x:xf numFmtId="0" fontId="0" fillId="7" borderId="24" xfId="0" applyNumberFormat="1" applyFont="1" applyFill="1" applyBorder="1" applyAlignment="1">
      <x:alignment wrapText="1"/>
    </x:xf>
    <x:xf numFmtId="0" fontId="0" fillId="7" borderId="25" xfId="0" applyNumberFormat="1" applyFont="1" applyFill="1" applyBorder="1" applyAlignment="1">
      <x:alignment wrapText="1"/>
    </x:xf>
    <x:xf numFmtId="0" fontId="0" fillId="7" borderId="26" xfId="0" applyNumberFormat="1" applyFont="1" applyFill="1" applyBorder="1" applyAlignment="1">
      <x:alignment wrapText="1"/>
    </x:xf>
    <x:xf numFmtId="0" fontId="0" fillId="7" borderId="27" xfId="0" applyNumberFormat="1" applyFont="1" applyFill="1" applyBorder="1" applyAlignment="1">
      <x:alignment wrapText="1"/>
    </x:xf>
    <x:xf numFmtId="0" fontId="0" fillId="7" borderId="1" xfId="0" applyNumberFormat="1" applyFont="1" applyFill="1" applyBorder="1" applyAlignment="1">
      <x:alignment wrapText="1"/>
    </x:xf>
    <x:xf numFmtId="0" fontId="0" fillId="7" borderId="28" xfId="0" applyNumberFormat="1" applyFont="1" applyFill="1" applyBorder="1" applyAlignment="1">
      <x:alignment wrapText="1"/>
    </x:xf>
    <x:xf numFmtId="0" fontId="0" fillId="7" borderId="29" xfId="0" applyNumberFormat="1" applyFont="1" applyFill="1" applyBorder="1" applyAlignment="1">
      <x:alignment wrapText="1"/>
    </x:xf>
    <x:xf numFmtId="0" fontId="0" fillId="7" borderId="30" xfId="0" applyNumberFormat="1" applyFont="1" applyFill="1" applyBorder="1" applyAlignment="1">
      <x:alignment wrapText="1"/>
    </x:xf>
    <x:xf numFmtId="0" fontId="0" fillId="7" borderId="31" xfId="0" applyNumberFormat="1" applyFont="1" applyFill="1" applyBorder="1" applyAlignment="1">
      <x:alignment wrapText="1"/>
    </x:xf>
    <x:xf numFmtId="0" fontId="0" fillId="7" borderId="16" xfId="0" applyNumberFormat="1" applyFont="1" applyFill="1" applyBorder="1" applyAlignment="1">
      <x:alignment vertical="top" wrapText="1"/>
    </x:xf>
    <x:xf numFmtId="0" fontId="0" fillId="7" borderId="17" xfId="0" applyNumberFormat="1" applyFont="1" applyFill="1" applyBorder="1" applyAlignment="1">
      <x:alignment vertical="top" wrapText="1"/>
    </x:xf>
    <x:xf numFmtId="0" fontId="0" fillId="7" borderId="18" xfId="0" applyNumberFormat="1" applyFont="1" applyFill="1" applyBorder="1" applyAlignment="1">
      <x:alignment vertical="top" wrapText="1"/>
    </x:xf>
    <x:xf numFmtId="0" fontId="0" fillId="7" borderId="19"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20" xfId="0" applyNumberFormat="1" applyFont="1" applyFill="1" applyBorder="1" applyAlignment="1">
      <x:alignment vertical="top" wrapText="1"/>
    </x:xf>
    <x:xf numFmtId="0" fontId="0" fillId="7" borderId="21" xfId="0" applyNumberFormat="1" applyFont="1" applyFill="1" applyBorder="1" applyAlignment="1">
      <x:alignment vertical="top" wrapText="1"/>
    </x:xf>
    <x:xf numFmtId="0" fontId="0" fillId="7" borderId="22" xfId="0" applyNumberFormat="1" applyFont="1" applyFill="1" applyBorder="1" applyAlignment="1">
      <x:alignment vertical="top" wrapText="1"/>
    </x:xf>
    <x:xf numFmtId="0" fontId="0" fillId="7" borderId="23" xfId="0" applyNumberFormat="1" applyFont="1" applyFill="1" applyBorder="1" applyAlignment="1">
      <x:alignment vertical="top" wrapText="1"/>
    </x:xf>
    <x:xf numFmtId="0" fontId="0" fillId="7" borderId="24" xfId="0" applyNumberFormat="1" applyFont="1" applyFill="1" applyBorder="1" applyAlignment="1">
      <x:alignment vertical="top" wrapText="1"/>
    </x:xf>
    <x:xf numFmtId="0" fontId="0" fillId="7" borderId="25" xfId="0" applyNumberFormat="1" applyFont="1" applyFill="1" applyBorder="1" applyAlignment="1">
      <x:alignment vertical="top" wrapText="1"/>
    </x:xf>
    <x:xf numFmtId="0" fontId="0" fillId="7" borderId="26" xfId="0" applyNumberFormat="1" applyFont="1" applyFill="1" applyBorder="1" applyAlignment="1">
      <x:alignment vertical="top" wrapText="1"/>
    </x:xf>
    <x:xf numFmtId="0" fontId="0" fillId="7" borderId="27"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7" borderId="28" xfId="0" applyNumberFormat="1" applyFont="1" applyFill="1" applyBorder="1" applyAlignment="1">
      <x:alignment vertical="top" wrapText="1"/>
    </x:xf>
    <x:xf numFmtId="0" fontId="0" fillId="7" borderId="29" xfId="0" applyNumberFormat="1" applyFont="1" applyFill="1" applyBorder="1" applyAlignment="1">
      <x:alignment vertical="top" wrapText="1"/>
    </x:xf>
    <x:xf numFmtId="0" fontId="0" fillId="7" borderId="30" xfId="0" applyNumberFormat="1" applyFont="1" applyFill="1" applyBorder="1" applyAlignment="1">
      <x:alignment vertical="top" wrapText="1"/>
    </x:xf>
    <x:xf numFmtId="0" fontId="0" fillId="7" borderId="31" xfId="0" applyNumberFormat="1" applyFont="1" applyFill="1" applyBorder="1" applyAlignment="1">
      <x:alignment vertical="top" wrapText="1"/>
    </x:xf>
    <x:xf numFmtId="0" fontId="0" fillId="9" borderId="0" xfId="0" applyNumberFormat="1" applyFont="1" applyFill="1" applyBorder="1"/>
    <x:xf numFmtId="0" fontId="0" fillId="9" borderId="1" xfId="0" applyNumberFormat="1" applyFont="1" applyFill="1" applyBorder="1"/>
    <x:xf numFmtId="0" fontId="6" fillId="9" borderId="0" xfId="0" applyNumberFormat="1" applyFont="1" applyFill="1" applyBorder="1"/>
    <x:xf numFmtId="0" fontId="6" fillId="9" borderId="1" xfId="0" applyNumberFormat="1" applyFont="1" applyFill="1" applyBorder="1"/>
    <x:xf numFmtId="0" fontId="0" fillId="6" borderId="32" xfId="0" applyNumberFormat="1" applyFont="1" applyFill="1" applyBorder="1"/>
    <x:xf numFmtId="0" fontId="0" fillId="6" borderId="33" xfId="0" applyNumberFormat="1" applyFont="1" applyFill="1" applyBorder="1"/>
    <x:xf numFmtId="0" fontId="0" fillId="6" borderId="34" xfId="0" applyNumberFormat="1" applyFont="1" applyFill="1" applyBorder="1"/>
    <x:xf numFmtId="0" fontId="0" fillId="6" borderId="35" xfId="0" applyNumberFormat="1" applyFont="1" applyFill="1" applyBorder="1"/>
    <x:xf numFmtId="0" fontId="0" fillId="6" borderId="36" xfId="0" applyNumberFormat="1" applyFont="1" applyFill="1" applyBorder="1"/>
    <x:xf numFmtId="0" fontId="0" fillId="6" borderId="37" xfId="0" applyNumberFormat="1" applyFont="1" applyFill="1" applyBorder="1"/>
    <x:xf numFmtId="0" fontId="0" fillId="6" borderId="38" xfId="0" applyNumberFormat="1" applyFont="1" applyFill="1" applyBorder="1"/>
    <x:xf numFmtId="0" fontId="0" fillId="6" borderId="39" xfId="0" applyNumberFormat="1" applyFont="1" applyFill="1" applyBorder="1"/>
    <x:xf numFmtId="0" fontId="0" fillId="6" borderId="40" xfId="0" applyNumberFormat="1" applyFont="1" applyFill="1" applyBorder="1"/>
    <x:xf numFmtId="0" fontId="0" fillId="6" borderId="41" xfId="0" applyNumberFormat="1" applyFont="1" applyFill="1" applyBorder="1"/>
    <x:xf numFmtId="0" fontId="0" fillId="6" borderId="42" xfId="0" applyNumberFormat="1" applyFont="1" applyFill="1" applyBorder="1"/>
    <x:xf numFmtId="0" fontId="0" fillId="6" borderId="43" xfId="0" applyNumberFormat="1" applyFont="1" applyFill="1" applyBorder="1"/>
    <x:xf numFmtId="0" fontId="0" fillId="6" borderId="44" xfId="0" applyNumberFormat="1" applyFont="1" applyFill="1" applyBorder="1"/>
    <x:xf numFmtId="0" fontId="0" fillId="6" borderId="45" xfId="0" applyNumberFormat="1" applyFont="1" applyFill="1" applyBorder="1"/>
    <x:xf numFmtId="0" fontId="0" fillId="6" borderId="46" xfId="0" applyNumberFormat="1" applyFont="1" applyFill="1" applyBorder="1"/>
    <x:xf numFmtId="0" fontId="0" fillId="6" borderId="47" xfId="0" applyNumberFormat="1" applyFont="1" applyFill="1" applyBorder="1"/>
    <x:xf numFmtId="0" fontId="7" fillId="6" borderId="32" xfId="0" applyNumberFormat="1" applyFont="1" applyFill="1" applyBorder="1"/>
    <x:xf numFmtId="0" fontId="7" fillId="6" borderId="35" xfId="0" applyNumberFormat="1" applyFont="1" applyFill="1" applyBorder="1"/>
    <x:xf numFmtId="0" fontId="7" fillId="6" borderId="37" xfId="0" applyNumberFormat="1" applyFont="1" applyFill="1" applyBorder="1"/>
    <x:xf numFmtId="0" fontId="7" fillId="6" borderId="40" xfId="0" applyNumberFormat="1" applyFont="1" applyFill="1" applyBorder="1"/>
    <x:xf numFmtId="0" fontId="7" fillId="6" borderId="43" xfId="0" applyNumberFormat="1" applyFont="1" applyFill="1" applyBorder="1"/>
    <x:xf numFmtId="0" fontId="7" fillId="6" borderId="45" xfId="0" applyNumberFormat="1" applyFont="1" applyFill="1" applyBorder="1"/>
    <x:xf numFmtId="205" fontId="0" fillId="0" borderId="0" xfId="0" applyNumberFormat="1" applyFont="1" applyFill="1" applyBorder="1"/>
    <x:xf numFmtId="205" fontId="0" fillId="0" borderId="1" xfId="0" applyNumberFormat="1" applyFont="1" applyFill="1" applyBorder="1"/>
    <x:xf numFmtId="206" fontId="0" fillId="0" borderId="0" xfId="0" applyNumberFormat="1" applyFont="1" applyFill="1" applyBorder="1"/>
    <x:xf numFmtId="206" fontId="0" fillId="0" borderId="1" xfId="0" applyNumberFormat="1" applyFont="1" applyFill="1" applyBorder="1"/>
    <x:xf numFmtId="205" fontId="0" fillId="0" borderId="10" xfId="0" applyNumberFormat="1" applyFont="1" applyFill="1" applyBorder="1"/>
    <x:xf numFmtId="205" fontId="0" fillId="0" borderId="11" xfId="0" applyNumberFormat="1" applyFont="1" applyFill="1" applyBorder="1"/>
    <x:xf numFmtId="206" fontId="0" fillId="0" borderId="11" xfId="0" applyNumberFormat="1" applyFont="1" applyFill="1" applyBorder="1"/>
    <x:xf numFmtId="204" fontId="0" fillId="0" borderId="12" xfId="0" applyNumberFormat="1" applyFont="1" applyFill="1" applyBorder="1"/>
    <x:xf numFmtId="205" fontId="0" fillId="0" borderId="13" xfId="0" applyNumberFormat="1" applyFont="1" applyFill="1" applyBorder="1"/>
    <x:xf numFmtId="205" fontId="0" fillId="0" borderId="14" xfId="0" applyNumberFormat="1" applyFont="1" applyFill="1" applyBorder="1"/>
    <x:xf numFmtId="206" fontId="0" fillId="0" borderId="14" xfId="0" applyNumberFormat="1" applyFont="1" applyFill="1" applyBorder="1"/>
    <x:xf numFmtId="204" fontId="0" fillId="0" borderId="15" xfId="0" applyNumberFormat="1" applyFont="1" applyFill="1" applyBorder="1"/>
    <x:xf numFmtId="205" fontId="0" fillId="0" borderId="10" xfId="0" applyNumberFormat="1" applyFont="1" applyFill="1" applyBorder="1" applyAlignment="1">
      <x:alignment vertical="center"/>
    </x:xf>
    <x:xf numFmtId="205" fontId="0" fillId="0" borderId="11" xfId="0" applyNumberFormat="1" applyFont="1" applyFill="1" applyBorder="1" applyAlignment="1">
      <x:alignment vertical="center"/>
    </x:xf>
    <x:xf numFmtId="206" fontId="0" fillId="0" borderId="11" xfId="0" applyNumberFormat="1" applyFont="1" applyFill="1" applyBorder="1" applyAlignment="1">
      <x:alignment vertical="center"/>
    </x:xf>
    <x:xf numFmtId="204" fontId="0" fillId="0" borderId="12" xfId="0" applyNumberFormat="1" applyFont="1" applyFill="1" applyBorder="1" applyAlignment="1">
      <x:alignment vertical="center"/>
    </x:xf>
    <x:xf numFmtId="205" fontId="0" fillId="0" borderId="13" xfId="0" applyNumberFormat="1" applyFont="1" applyFill="1" applyBorder="1" applyAlignment="1">
      <x:alignment vertical="center"/>
    </x:xf>
    <x:xf numFmtId="205" fontId="0" fillId="0" borderId="14" xfId="0" applyNumberFormat="1" applyFont="1" applyFill="1" applyBorder="1" applyAlignment="1">
      <x:alignment vertical="center"/>
    </x:xf>
    <x:xf numFmtId="206" fontId="0" fillId="0" borderId="14" xfId="0" applyNumberFormat="1" applyFont="1" applyFill="1" applyBorder="1" applyAlignment="1">
      <x:alignment vertical="center"/>
    </x:xf>
    <x:xf numFmtId="204" fontId="0" fillId="0" borderId="15" xfId="0" applyNumberFormat="1" applyFont="1" applyFill="1" applyBorder="1" applyAlignment="1">
      <x:alignment vertical="center"/>
    </x:xf>
    <x:xf numFmtId="0" fontId="8" fillId="2" borderId="0" xfId="0" applyNumberFormat="1" applyFont="1" applyFill="1" applyBorder="1"/>
    <x:xf numFmtId="0" fontId="8" fillId="2" borderId="1" xfId="0" applyNumberFormat="1" applyFont="1" applyFill="1" applyBorder="1"/>
    <x:xf numFmtId="0" fontId="8" fillId="2" borderId="0" xfId="0" applyNumberFormat="1" applyFont="1" applyFill="1" applyBorder="1" applyAlignment="1">
      <x:alignment horizontal="center"/>
    </x:xf>
    <x:xf numFmtId="0" fontId="8" fillId="2" borderId="1" xfId="0" applyNumberFormat="1" applyFont="1" applyFill="1" applyBorder="1" applyAlignment="1">
      <x:alignment horizontal="center"/>
    </x:xf>
    <x:xf numFmtId="0" fontId="8" fillId="2" borderId="0" xfId="0" applyNumberFormat="1" applyFont="1" applyFill="1" applyBorder="1" applyAlignment="1">
      <x:alignment horizontal="center" vertical="center"/>
    </x:xf>
    <x:xf numFmtId="0" fontId="8" fillId="2" borderId="1" xfId="0" applyNumberFormat="1" applyFont="1" applyFill="1" applyBorder="1" applyAlignment="1">
      <x:alignment horizontal="center" vertical="center"/>
    </x:xf>
    <x:xf numFmtId="0" fontId="0" fillId="6" borderId="32" xfId="0" applyNumberFormat="1" applyFont="1" applyFill="1" applyBorder="1" applyAlignment="1">
      <x:alignment wrapText="1"/>
    </x:xf>
    <x:xf numFmtId="0" fontId="0" fillId="6" borderId="33" xfId="0" applyNumberFormat="1" applyFont="1" applyFill="1" applyBorder="1" applyAlignment="1">
      <x:alignment wrapText="1"/>
    </x:xf>
    <x:xf numFmtId="0" fontId="0" fillId="6" borderId="34" xfId="0" applyNumberFormat="1" applyFont="1" applyFill="1" applyBorder="1" applyAlignment="1">
      <x:alignment wrapText="1"/>
    </x:xf>
    <x:xf numFmtId="0" fontId="0" fillId="6" borderId="35"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36" xfId="0" applyNumberFormat="1" applyFont="1" applyFill="1" applyBorder="1" applyAlignment="1">
      <x:alignment wrapText="1"/>
    </x:xf>
    <x:xf numFmtId="0" fontId="0" fillId="6" borderId="37" xfId="0" applyNumberFormat="1" applyFont="1" applyFill="1" applyBorder="1" applyAlignment="1">
      <x:alignment wrapText="1"/>
    </x:xf>
    <x:xf numFmtId="0" fontId="0" fillId="6" borderId="38" xfId="0" applyNumberFormat="1" applyFont="1" applyFill="1" applyBorder="1" applyAlignment="1">
      <x:alignment wrapText="1"/>
    </x:xf>
    <x:xf numFmtId="0" fontId="0" fillId="6" borderId="39" xfId="0" applyNumberFormat="1" applyFont="1" applyFill="1" applyBorder="1" applyAlignment="1">
      <x:alignment wrapText="1"/>
    </x:xf>
    <x:xf numFmtId="0" fontId="0" fillId="6" borderId="40" xfId="0" applyNumberFormat="1" applyFont="1" applyFill="1" applyBorder="1" applyAlignment="1">
      <x:alignment wrapText="1"/>
    </x:xf>
    <x:xf numFmtId="0" fontId="0" fillId="6" borderId="41" xfId="0" applyNumberFormat="1" applyFont="1" applyFill="1" applyBorder="1" applyAlignment="1">
      <x:alignment wrapText="1"/>
    </x:xf>
    <x:xf numFmtId="0" fontId="0" fillId="6" borderId="42" xfId="0" applyNumberFormat="1" applyFont="1" applyFill="1" applyBorder="1" applyAlignment="1">
      <x:alignment wrapText="1"/>
    </x:xf>
    <x:xf numFmtId="0" fontId="0" fillId="6" borderId="43" xfId="0" applyNumberFormat="1" applyFont="1" applyFill="1" applyBorder="1" applyAlignment="1">
      <x:alignment wrapText="1"/>
    </x:xf>
    <x:xf numFmtId="0" fontId="0" fillId="6" borderId="1" xfId="0" applyNumberFormat="1" applyFont="1" applyFill="1" applyBorder="1" applyAlignment="1">
      <x:alignment wrapText="1"/>
    </x:xf>
    <x:xf numFmtId="0" fontId="0" fillId="6" borderId="44" xfId="0" applyNumberFormat="1" applyFont="1" applyFill="1" applyBorder="1" applyAlignment="1">
      <x:alignment wrapText="1"/>
    </x:xf>
    <x:xf numFmtId="0" fontId="0" fillId="6" borderId="45" xfId="0" applyNumberFormat="1" applyFont="1" applyFill="1" applyBorder="1" applyAlignment="1">
      <x:alignment wrapText="1"/>
    </x:xf>
    <x:xf numFmtId="0" fontId="0" fillId="6" borderId="46" xfId="0" applyNumberFormat="1" applyFont="1" applyFill="1" applyBorder="1" applyAlignment="1">
      <x:alignment wrapText="1"/>
    </x:xf>
    <x:xf numFmtId="0" fontId="0" fillId="6" borderId="47" xfId="0" applyNumberFormat="1" applyFont="1" applyFill="1" applyBorder="1" applyAlignment="1">
      <x:alignment wrapText="1"/>
    </x:xf>
    <x:xf numFmtId="0" fontId="0" fillId="6" borderId="32" xfId="0" applyNumberFormat="1" applyFont="1" applyFill="1" applyBorder="1" applyAlignment="1">
      <x:alignment vertical="top" wrapText="1"/>
    </x:xf>
    <x:xf numFmtId="0" fontId="0" fillId="6" borderId="33" xfId="0" applyNumberFormat="1" applyFont="1" applyFill="1" applyBorder="1" applyAlignment="1">
      <x:alignment vertical="top" wrapText="1"/>
    </x:xf>
    <x:xf numFmtId="0" fontId="0" fillId="6" borderId="34" xfId="0" applyNumberFormat="1" applyFont="1" applyFill="1" applyBorder="1" applyAlignment="1">
      <x:alignment vertical="top" wrapText="1"/>
    </x:xf>
    <x:xf numFmtId="0" fontId="0" fillId="6" borderId="35"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36" xfId="0" applyNumberFormat="1" applyFont="1" applyFill="1" applyBorder="1" applyAlignment="1">
      <x:alignment vertical="top" wrapText="1"/>
    </x:xf>
    <x:xf numFmtId="0" fontId="0" fillId="6" borderId="37" xfId="0" applyNumberFormat="1" applyFont="1" applyFill="1" applyBorder="1" applyAlignment="1">
      <x:alignment vertical="top" wrapText="1"/>
    </x:xf>
    <x:xf numFmtId="0" fontId="0" fillId="6" borderId="38" xfId="0" applyNumberFormat="1" applyFont="1" applyFill="1" applyBorder="1" applyAlignment="1">
      <x:alignment vertical="top" wrapText="1"/>
    </x:xf>
    <x:xf numFmtId="0" fontId="0" fillId="6" borderId="39" xfId="0" applyNumberFormat="1" applyFont="1" applyFill="1" applyBorder="1" applyAlignment="1">
      <x:alignment vertical="top" wrapText="1"/>
    </x:xf>
    <x:xf numFmtId="0" fontId="0" fillId="6" borderId="40" xfId="0" applyNumberFormat="1" applyFont="1" applyFill="1" applyBorder="1" applyAlignment="1">
      <x:alignment vertical="top" wrapText="1"/>
    </x:xf>
    <x:xf numFmtId="0" fontId="0" fillId="6" borderId="41" xfId="0" applyNumberFormat="1" applyFont="1" applyFill="1" applyBorder="1" applyAlignment="1">
      <x:alignment vertical="top" wrapText="1"/>
    </x:xf>
    <x:xf numFmtId="0" fontId="0" fillId="6" borderId="42" xfId="0" applyNumberFormat="1" applyFont="1" applyFill="1" applyBorder="1" applyAlignment="1">
      <x:alignment vertical="top" wrapText="1"/>
    </x:xf>
    <x:xf numFmtId="0" fontId="0" fillId="6" borderId="43"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6" borderId="44" xfId="0" applyNumberFormat="1" applyFont="1" applyFill="1" applyBorder="1" applyAlignment="1">
      <x:alignment vertical="top" wrapText="1"/>
    </x:xf>
    <x:xf numFmtId="0" fontId="0" fillId="6" borderId="45" xfId="0" applyNumberFormat="1" applyFont="1" applyFill="1" applyBorder="1" applyAlignment="1">
      <x:alignment vertical="top" wrapText="1"/>
    </x:xf>
    <x:xf numFmtId="0" fontId="0" fillId="6" borderId="46" xfId="0" applyNumberFormat="1" applyFont="1" applyFill="1" applyBorder="1" applyAlignment="1">
      <x:alignment vertical="top" wrapText="1"/>
    </x:xf>
    <x:xf numFmtId="0" fontId="0" fillId="6" borderId="47" xfId="0" applyNumberFormat="1" applyFont="1" applyFill="1" applyBorder="1" applyAlignment="1">
      <x:alignment vertical="top" wrapText="1"/>
    </x:xf>
    <x:xf numFmtId="0" fontId="9" fillId="0" borderId="0" xfId="0" applyNumberFormat="1" applyFont="1" applyFill="1" applyBorder="1"/>
    <x:xf numFmtId="0" fontId="9" fillId="0" borderId="1" xfId="0" applyNumberFormat="1" applyFont="1" applyFill="1" applyBorder="1"/>
    <x:xf numFmtId="0" fontId="7" fillId="0" borderId="0" xfId="0" applyNumberFormat="1" applyFont="1" applyFill="1" applyBorder="1"/>
    <x:xf numFmtId="0" fontId="7" fillId="0" borderId="1" xfId="0" applyNumberFormat="1" applyFont="1" applyFill="1" applyBorder="1"/>
    <x:xf numFmtId="0" fontId="9" fillId="0" borderId="38" xfId="0" applyNumberFormat="1" applyFont="1" applyFill="1" applyBorder="1"/>
    <x:xf numFmtId="0" fontId="7" fillId="0" borderId="38" xfId="0" applyNumberFormat="1" applyFont="1" applyFill="1" applyBorder="1"/>
    <x:xf numFmtId="0" fontId="0" fillId="0" borderId="38" xfId="0" applyNumberFormat="1" applyFont="1" applyFill="1" applyBorder="1"/>
    <x:xf numFmtId="0" fontId="9" fillId="0" borderId="48" xfId="0" applyNumberFormat="1" applyFont="1" applyFill="1" applyBorder="1"/>
    <x:xf numFmtId="0" fontId="7" fillId="0" borderId="48" xfId="0" applyNumberFormat="1" applyFont="1" applyFill="1" applyBorder="1"/>
    <x:xf numFmtId="0" fontId="0" fillId="0" borderId="48" xfId="0" applyNumberFormat="1" applyFont="1" applyFill="1" applyBorder="1"/>
    <x:xf numFmtId="0" fontId="9" fillId="0" borderId="33" xfId="0" applyNumberFormat="1" applyFont="1" applyFill="1" applyBorder="1"/>
    <x:xf numFmtId="0" fontId="7" fillId="0" borderId="33" xfId="0" applyNumberFormat="1" applyFont="1" applyFill="1" applyBorder="1"/>
    <x:xf numFmtId="0" fontId="0" fillId="0" borderId="33" xfId="0" applyNumberFormat="1" applyFont="1" applyFill="1" applyBorder="1"/>
    <x:xf numFmtId="0" fontId="9" fillId="0" borderId="46" xfId="0" applyNumberFormat="1" applyFont="1" applyFill="1" applyBorder="1"/>
    <x:xf numFmtId="0" fontId="7" fillId="0" borderId="46" xfId="0" applyNumberFormat="1" applyFont="1" applyFill="1" applyBorder="1"/>
    <x:xf numFmtId="0" fontId="0" fillId="0" borderId="46" xfId="0" applyNumberFormat="1" applyFont="1" applyFill="1" applyBorder="1"/>
    <x:xf numFmtId="0" fontId="9" fillId="0" borderId="49" xfId="0" applyNumberFormat="1" applyFont="1" applyFill="1" applyBorder="1"/>
    <x:xf numFmtId="0" fontId="7" fillId="0" borderId="49" xfId="0" applyNumberFormat="1" applyFont="1" applyFill="1" applyBorder="1"/>
    <x:xf numFmtId="0" fontId="0" fillId="0" borderId="49" xfId="0" applyNumberFormat="1" applyFont="1" applyFill="1" applyBorder="1"/>
    <x:xf numFmtId="0" fontId="9" fillId="0" borderId="41" xfId="0" applyNumberFormat="1" applyFont="1" applyFill="1" applyBorder="1"/>
    <x:xf numFmtId="0" fontId="7" fillId="0" borderId="41" xfId="0" applyNumberFormat="1" applyFont="1" applyFill="1" applyBorder="1"/>
    <x:xf numFmtId="0" fontId="0" fillId="0" borderId="4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1243948b784cb8" /><Relationship Type="http://schemas.openxmlformats.org/officeDocument/2006/relationships/theme" Target="/xl/theme/theme1.xml" Id="R91afd8ac3f40424d" /><Relationship Type="http://schemas.openxmlformats.org/officeDocument/2006/relationships/sharedStrings" Target="/xl/sharedStrings.xml" Id="R0f6ccd0198294b7c" /><Relationship Type="http://schemas.openxmlformats.org/officeDocument/2006/relationships/worksheet" Target="/xl/worksheets/sheet1.xml" Id="R6c2135269f274d34" /><Relationship Type="http://schemas.openxmlformats.org/officeDocument/2006/relationships/worksheet" Target="/xl/worksheets/sheet2.xml" Id="Rbc7df5be75f14bd2" /><Relationship Type="http://schemas.openxmlformats.org/officeDocument/2006/relationships/worksheet" Target="/xl/worksheets/sheet3.xml" Id="Rf86ce5d380e74174" /><Relationship Type="http://schemas.openxmlformats.org/officeDocument/2006/relationships/worksheet" Target="/xl/worksheets/sheet4.xml" Id="R7d914be2bb974269" /><Relationship Type="http://schemas.openxmlformats.org/officeDocument/2006/relationships/worksheet" Target="/xl/worksheets/sheet5.xml" Id="Rf00e6ef85391458e" /><Relationship Type="http://schemas.openxmlformats.org/officeDocument/2006/relationships/worksheet" Target="/xl/worksheets/sheet6.xml" Id="Ree9202dd54be49a2" /><Relationship Type="http://schemas.openxmlformats.org/officeDocument/2006/relationships/worksheet" Target="/xl/worksheets/sheet7.xml" Id="R0354fc017a934b4a" /><Relationship Type="http://schemas.openxmlformats.org/officeDocument/2006/relationships/worksheet" Target="/xl/worksheets/sheet8.xml" Id="R77c5c39a7adc4616" /><Relationship Type="http://schemas.openxmlformats.org/officeDocument/2006/relationships/worksheet" Target="/xl/worksheets/sheet9.xml" Id="R5f35a457046147bf" /></Relationships>
</file>

<file path=xl/drawings/_rels/drawing1.xml.rels>&#65279;<?xml version="1.0" encoding="utf-8"?><Relationships xmlns="http://schemas.openxmlformats.org/package/2006/relationships"><Relationship Type="http://schemas.openxmlformats.org/officeDocument/2006/relationships/chart" Target="/xl/drawings/charts/chart1.xml" Id="R09506e67a9e8464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Khoảng cách tăng, giá trọ ngoài KTX có xu hướng giảm</a:t>
            </a:r>
          </a:p>
        </c:rich>
      </c:tx>
    </c:title>
    <c:plotArea>
      <c:scatterChart>
        <c:scatterStyle val="marker"/>
        <c:ser>
          <c:idx val="0"/>
          <c:order val="0"/>
          <c:tx>
            <c:v>Giá thực tế</c:v>
          </c:tx>
          <c:spPr>
            <a:solidFill xmlns:a="http://schemas.openxmlformats.org/drawingml/2006/main">
              <a:srgbClr val="5B9BD5"/>
            </a:solidFill>
          </c:spPr>
          <c:xVal>
            <c:numLit>
              <c:formatCode>General</c:formatCode>
              <c:ptCount val="0"/>
            </c:numLit>
          </c:xVal>
          <c:yVal>
            <c:numRef>
              <c:f>'MauHoiQuy'!$F$2:$F$60</c:f>
              <c:numCache>
                <c:formatCode>0.0</c:formatCode>
                <c:ptCount val="0"/>
              </c:numCache>
            </c:numRef>
          </c:yVal>
        </c:ser>
        <c:ser>
          <c:idx val="1"/>
          <c:order val="1"/>
          <c:tx>
            <c:v>Đường OLS</c:v>
          </c:tx>
          <c:spPr>
            <a:solidFill xmlns:a="http://schemas.openxmlformats.org/drawingml/2006/main">
              <a:srgbClr val="C00000"/>
            </a:solidFill>
          </c:spPr>
          <c:xVal>
            <c:numLit>
              <c:formatCode>General</c:formatCode>
              <c:ptCount val="0"/>
            </c:numLit>
          </c:xVal>
          <c:yVal>
            <c:numRef>
              <c:f>'MauHoiQuy'!$K$2:$K$60</c:f>
              <c:numCache>
                <c:formatCode>0.0</c:formatCode>
                <c:ptCount val="0"/>
              </c:numCache>
            </c:numRef>
          </c:yVal>
        </c:ser>
        <c:axId val="48650112"/>
        <c:axId val="48672768"/>
      </c:scatterChart>
      <c:valAx>
        <c:axId val="48672768"/>
        <c:scaling>
          <c:orientation val="minMax"/>
          <c:max val="3.5"/>
          <c:min val="0"/>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Giá thuê (triệu)</a:t>
                </a:r>
              </a:p>
            </c:rich>
          </c:tx>
        </c:title>
        <c:numFmt formatCode="0.0"/>
        <c:majorTickMark val="none"/>
        <c:minorTickMark val="none"/>
        <c:crossAx val="48650112"/>
      </c:valAx>
      <c:valAx>
        <c:axId val="48650112"/>
        <c:scaling>
          <c:orientation val="minMax"/>
          <c:max val="9"/>
          <c:min val="0"/>
        </c:scaling>
        <c:delete val="0"/>
        <c:axPos val="b"/>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Khoảng cách (km)</a:t>
                </a:r>
              </a:p>
            </c:rich>
          </c:tx>
        </c:title>
        <c:numFmt formatCode="General"/>
        <c:majorTickMark val="none"/>
        <c:minorTickMark val="none"/>
        <c:tickLblPos val="nextTo"/>
        <c:crossAx val="48672768"/>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14</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9506e67a9e84644"/>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aae4b017ed0e46a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1" hidden="0" customWidth="1"/>
    <x:col min="3" max="3" width="13" hidden="0" customWidth="1"/>
    <x:col min="4" max="4" width="24" hidden="0" customWidth="1"/>
    <x:col min="5" max="5" width="15" hidden="0" customWidth="1"/>
    <x:col min="6" max="6" width="24" hidden="0" customWidth="1"/>
    <x:col min="7" max="7" width="17" hidden="0" customWidth="1"/>
    <x:col min="8" max="8" width="17" hidden="0" customWidth="1"/>
    <x:col min="9" max="9" width="11" hidden="0" customWidth="1"/>
    <x:col min="10" max="10" width="16" hidden="0" customWidth="1"/>
  </x:cols>
  <x:sheetData>
    <x:row r="1" ht="32" customHeight="1">
      <x:c r="A1" s="12" t="str">
        <x:v>Ho_Ten</x:v>
      </x:c>
      <x:c r="B1" s="12" t="str">
        <x:v>Gioi_Tinh</x:v>
      </x:c>
      <x:c r="C1" s="12" t="str">
        <x:v>Ma_SV</x:v>
      </x:c>
      <x:c r="D1" s="12" t="str">
        <x:v>Nganh</x:v>
      </x:c>
      <x:c r="E1" s="12" t="str">
        <x:v>Khu_Vuc</x:v>
      </x:c>
      <x:c r="F1" s="12" t="str">
        <x:v>Loai_Phong</x:v>
      </x:c>
      <x:c r="G1" s="12" t="str">
        <x:v>Khoang_Cach_km</x:v>
      </x:c>
      <x:c r="H1" s="12" t="str">
        <x:v>Gia_Thue_Trieu</x:v>
      </x:c>
      <x:c r="I1" s="12" t="str">
        <x:v>So_Nguoi</x:v>
      </x:c>
      <x:c r="J1" s="12" t="str">
        <x:v>Phuong_Tien</x:v>
      </x:c>
    </x:row>
    <x:row r="2">
      <x:c r="A2" s="14" t="str">
        <x:v>Nguyễn Văn An</x:v>
      </x:c>
      <x:c r="B2" s="14" t="str">
        <x:v>Nam</x:v>
      </x:c>
      <x:c r="C2" s="14" t="str">
        <x:v>HE185306</x:v>
      </x:c>
      <x:c r="D2" s="14" t="str">
        <x:v>Công nghệ thông tin</x:v>
      </x:c>
      <x:c r="E2" s="14" t="str">
        <x:v>Tân Xã</x:v>
      </x:c>
      <x:c r="F2" s="14" t="str">
        <x:v>Phòng trọ cơ bản</x:v>
      </x:c>
      <x:c r="G2" s="20" t="str">
        <x:v>3.1</x:v>
      </x:c>
      <x:c r="H2" s="20" t="str">
        <x:v>2.1</x:v>
      </x:c>
      <x:c r="I2" s="26" t="str">
        <x:v>2</x:v>
      </x:c>
      <x:c r="J2" s="14" t="str">
        <x:v>Xe máy</x:v>
      </x:c>
    </x:row>
    <x:row r="3">
      <x:c r="A3" s="15" t="str">
        <x:v>Lê Hoàng Cường</x:v>
      </x:c>
      <x:c r="B3" s="15" t="str">
        <x:v>Nam</x:v>
      </x:c>
      <x:c r="C3" s="15" t="str">
        <x:v>HS196469</x:v>
      </x:c>
      <x:c r="D3" s="15" t="str">
        <x:v>An toàn thông tin</x:v>
      </x:c>
      <x:c r="E3" s="15" t="str">
        <x:v>Tân Xã</x:v>
      </x:c>
      <x:c r="F3" s="15" t="str">
        <x:v>Phòng trọ cơ bản</x:v>
      </x:c>
      <x:c r="G3" s="21" t="str">
        <x:v>1.9</x:v>
      </x:c>
      <x:c r="H3" s="21" t="str">
        <x:v>2.1</x:v>
      </x:c>
      <x:c r="I3" s="27" t="str">
        <x:v>2</x:v>
      </x:c>
      <x:c r="J3" s="15" t="str">
        <x:v>Đi bộ</x:v>
      </x:c>
    </x:row>
    <x:row r="4">
      <x:c r="A4" s="15" t="str">
        <x:v>Hoàng Văn Thắng</x:v>
      </x:c>
      <x:c r="B4" s="15" t="str">
        <x:v>Nam</x:v>
      </x:c>
      <x:c r="C4" s="15" t="str">
        <x:v>HC181187</x:v>
      </x:c>
      <x:c r="D4" s="15" t="str">
        <x:v>Thiết kế mỹ thuật số</x:v>
      </x:c>
      <x:c r="E4" s="15" t="str">
        <x:v>Hòa Lạc</x:v>
      </x:c>
      <x:c r="F4" s="15" t="str">
        <x:v>Phòng khép kín</x:v>
      </x:c>
      <x:c r="G4" s="21" t="str">
        <x:v>5.0</x:v>
      </x:c>
      <x:c r="H4" s="21" t="str">
        <x:v>1.9</x:v>
      </x:c>
      <x:c r="I4" s="27" t="str">
        <x:v>1</x:v>
      </x:c>
      <x:c r="J4" s="15" t="str">
        <x:v>Xe buýt</x:v>
      </x:c>
    </x:row>
    <x:row r="5">
      <x:c r="A5" s="15" t="str">
        <x:v>Đoàn Văn Giang</x:v>
      </x:c>
      <x:c r="B5" s="15" t="str">
        <x:v>Nam</x:v>
      </x:c>
      <x:c r="C5" s="15" t="str">
        <x:v>HS191543</x:v>
      </x:c>
      <x:c r="D5" s="15" t="str">
        <x:v>An toàn thông tin</x:v>
      </x:c>
      <x:c r="E5" s="15" t="str">
        <x:v>Thạch Hòa</x:v>
      </x:c>
      <x:c r="F5" s="15" t="str">
        <x:v>Phòng trọ cơ bản</x:v>
      </x:c>
      <x:c r="G5" s="21" t="str">
        <x:v>4.5</x:v>
      </x:c>
      <x:c r="H5" s="21" t="str">
        <x:v>1.9</x:v>
      </x:c>
      <x:c r="I5" s="27" t="str">
        <x:v>1</x:v>
      </x:c>
      <x:c r="J5" s="15" t="str">
        <x:v>Xe máy</x:v>
      </x:c>
    </x:row>
    <x:row r="6">
      <x:c r="A6" s="15" t="str">
        <x:v>Lê Khắc Khánh</x:v>
      </x:c>
      <x:c r="B6" s="15" t="str">
        <x:v>Nam</x:v>
      </x:c>
      <x:c r="C6" s="15" t="str">
        <x:v>HC200951</x:v>
      </x:c>
      <x:c r="D6" s="15" t="str">
        <x:v>Thiết kế mỹ thuật số</x:v>
      </x:c>
      <x:c r="E6" s="15" t="str">
        <x:v>Dom B</x:v>
      </x:c>
      <x:c r="F6" s="15" t="str">
        <x:v>Ký túc xá</x:v>
      </x:c>
      <x:c r="G6" s="21" t="str">
        <x:v>0.3</x:v>
      </x:c>
      <x:c r="H6" s="21" t="str">
        <x:v>1.1</x:v>
      </x:c>
      <x:c r="I6" s="27" t="str">
        <x:v>4</x:v>
      </x:c>
      <x:c r="J6" s="15" t="str">
        <x:v>Đi bộ</x:v>
      </x:c>
    </x:row>
    <x:row r="7">
      <x:c r="A7" s="15" t="str">
        <x:v>Phan Thị Lan</x:v>
      </x:c>
      <x:c r="B7" s="15" t="str">
        <x:v>Nữ</x:v>
      </x:c>
      <x:c r="C7" s="15" t="str">
        <x:v>HE198314</x:v>
      </x:c>
      <x:c r="D7" s="15" t="str">
        <x:v>Công nghệ thông tin</x:v>
      </x:c>
      <x:c r="E7" s="15" t="str">
        <x:v>Thạch Hòa</x:v>
      </x:c>
      <x:c r="F7" s="15" t="str">
        <x:v>Phòng trọ cơ bản</x:v>
      </x:c>
      <x:c r="G7" s="21" t="str">
        <x:v>3.5</x:v>
      </x:c>
      <x:c r="H7" s="21" t="str">
        <x:v>2.1</x:v>
      </x:c>
      <x:c r="I7" s="27" t="str">
        <x:v>1</x:v>
      </x:c>
      <x:c r="J7" s="15" t="str">
        <x:v>Xe máy</x:v>
      </x:c>
    </x:row>
    <x:row r="8">
      <x:c r="A8" s="15" t="str">
        <x:v>Trần Mạnh</x:v>
      </x:c>
      <x:c r="B8" s="15" t="str">
        <x:v>Nam</x:v>
      </x:c>
      <x:c r="C8" s="15" t="str">
        <x:v>HC203518</x:v>
      </x:c>
      <x:c r="D8" s="15" t="str">
        <x:v>Thiết kế mỹ thuật số</x:v>
      </x:c>
      <x:c r="E8" s="15" t="str">
        <x:v>Hòa Lạc</x:v>
      </x:c>
      <x:c r="F8" s="15" t="str">
        <x:v>Phòng khép kín</x:v>
      </x:c>
      <x:c r="G8" s="21" t="str">
        <x:v>7.0</x:v>
      </x:c>
      <x:c r="H8" s="21" t="str">
        <x:v>1.5</x:v>
      </x:c>
      <x:c r="I8" s="27" t="str">
        <x:v>2</x:v>
      </x:c>
      <x:c r="J8" s="15" t="str">
        <x:v>Xe buýt</x:v>
      </x:c>
    </x:row>
    <x:row r="9">
      <x:c r="A9" s="15" t="str">
        <x:v>Nguyễn Thị Ngân</x:v>
      </x:c>
      <x:c r="B9" s="15" t="str">
        <x:v>Nữ</x:v>
      </x:c>
      <x:c r="C9" s="15" t="str">
        <x:v>HA190615</x:v>
      </x:c>
      <x:c r="D9" s="15" t="str">
        <x:v>Quản trị kinh doanh</x:v>
      </x:c>
      <x:c r="E9" s="15" t="str">
        <x:v>Tân Xã</x:v>
      </x:c>
      <x:c r="F9" s="15" t="str">
        <x:v>Phòng trọ cơ bản</x:v>
      </x:c>
      <x:c r="G9" s="21" t="str">
        <x:v>2.7</x:v>
      </x:c>
      <x:c r="H9" s="21" t="str">
        <x:v>2.4</x:v>
      </x:c>
      <x:c r="I9" s="27" t="str">
        <x:v>1</x:v>
      </x:c>
      <x:c r="J9" s="15" t="str">
        <x:v>Xe máy</x:v>
      </x:c>
    </x:row>
    <x:row r="10">
      <x:c r="A10" s="15" t="str">
        <x:v>Đoàn Quân</x:v>
      </x:c>
      <x:c r="B10" s="15" t="str">
        <x:v>Nam</x:v>
      </x:c>
      <x:c r="C10" s="15" t="str">
        <x:v>HC186852</x:v>
      </x:c>
      <x:c r="D10" s="15" t="str">
        <x:v>Thiết kế mỹ thuật số</x:v>
      </x:c>
      <x:c r="E10" s="15" t="str">
        <x:v>Hòa Lạc</x:v>
      </x:c>
      <x:c r="F10" s="15" t="str">
        <x:v>Phòng khép kín</x:v>
      </x:c>
      <x:c r="G10" s="21" t="str">
        <x:v>5.5</x:v>
      </x:c>
      <x:c r="H10" s="21" t="str">
        <x:v>1.8</x:v>
      </x:c>
      <x:c r="I10" s="27" t="str">
        <x:v>1</x:v>
      </x:c>
      <x:c r="J10" s="15" t="str">
        <x:v>Xe buýt</x:v>
      </x:c>
    </x:row>
    <x:row r="11">
      <x:c r="A11" s="15" t="str">
        <x:v>Nguyễn Văn Trung</x:v>
      </x:c>
      <x:c r="B11" s="15" t="str">
        <x:v>Nam</x:v>
      </x:c>
      <x:c r="C11" s="15" t="str">
        <x:v>HA201145</x:v>
      </x:c>
      <x:c r="D11" s="15" t="str">
        <x:v>Quản trị kinh doanh</x:v>
      </x:c>
      <x:c r="E11" s="15" t="str">
        <x:v>Tân Xã</x:v>
      </x:c>
      <x:c r="F11" s="15" t="str">
        <x:v>Phòng trọ cơ bản</x:v>
      </x:c>
      <x:c r="G11" s="21" t="str">
        <x:v>3.5</x:v>
      </x:c>
      <x:c r="H11" s="21" t="str">
        <x:v>2.2</x:v>
      </x:c>
      <x:c r="I11" s="27" t="str">
        <x:v>1</x:v>
      </x:c>
      <x:c r="J11" s="15" t="str">
        <x:v>Xe máy</x:v>
      </x:c>
    </x:row>
    <x:row r="12">
      <x:c r="A12" s="15" t="str">
        <x:v>Lê Văn Toàn</x:v>
      </x:c>
      <x:c r="B12" s="15" t="str">
        <x:v>Nam</x:v>
      </x:c>
      <x:c r="C12" s="15" t="str">
        <x:v>HC181487</x:v>
      </x:c>
      <x:c r="D12" s="15" t="str">
        <x:v>Thiết kế mỹ thuật số</x:v>
      </x:c>
      <x:c r="E12" s="15" t="str">
        <x:v>Thạch Hòa</x:v>
      </x:c>
      <x:c r="F12" s="15" t="str">
        <x:v>Phòng trọ cơ bản</x:v>
      </x:c>
      <x:c r="G12" s="21" t="str">
        <x:v>2.8</x:v>
      </x:c>
      <x:c r="H12" s="21" t="str">
        <x:v>2.0</x:v>
      </x:c>
      <x:c r="I12" s="27" t="str">
        <x:v>1</x:v>
      </x:c>
      <x:c r="J12" s="15" t="str">
        <x:v>Xe máy</x:v>
      </x:c>
    </x:row>
    <x:row r="13">
      <x:c r="A13" s="15" t="str">
        <x:v>Phạm Thị Uyên</x:v>
      </x:c>
      <x:c r="B13" s="15" t="str">
        <x:v>Nữ</x:v>
      </x:c>
      <x:c r="C13" s="15" t="str">
        <x:v>HC189029</x:v>
      </x:c>
      <x:c r="D13" s="15" t="str">
        <x:v>Thiết kế mỹ thuật số</x:v>
      </x:c>
      <x:c r="E13" s="15" t="str">
        <x:v>Hòa Lạc</x:v>
      </x:c>
      <x:c r="F13" s="15" t="str">
        <x:v>Phòng khép kín</x:v>
      </x:c>
      <x:c r="G13" s="21" t="str">
        <x:v>8.0</x:v>
      </x:c>
      <x:c r="H13" s="21" t="str">
        <x:v>1.4</x:v>
      </x:c>
      <x:c r="I13" s="27" t="str">
        <x:v>1</x:v>
      </x:c>
      <x:c r="J13" s="15" t="str">
        <x:v>Xe buýt</x:v>
      </x:c>
    </x:row>
    <x:row r="14">
      <x:c r="A14" s="15" t="str">
        <x:v>Bùi Văn Yến</x:v>
      </x:c>
      <x:c r="B14" s="15" t="str">
        <x:v>Nam</x:v>
      </x:c>
      <x:c r="C14" s="15" t="str">
        <x:v>HE199265</x:v>
      </x:c>
      <x:c r="D14" s="15" t="str">
        <x:v>Công nghệ thông tin</x:v>
      </x:c>
      <x:c r="E14" s="15" t="str">
        <x:v>Hòa Lạc</x:v>
      </x:c>
      <x:c r="F14" s="15" t="str">
        <x:v>Phòng khép kín</x:v>
      </x:c>
      <x:c r="G14" s="21" t="str">
        <x:v>6.5</x:v>
      </x:c>
      <x:c r="H14" s="21" t="str">
        <x:v>1.7</x:v>
      </x:c>
      <x:c r="I14" s="27" t="str">
        <x:v>2</x:v>
      </x:c>
      <x:c r="J14" s="15" t="str">
        <x:v>Xe buýt</x:v>
      </x:c>
    </x:row>
    <x:row r="15">
      <x:c r="A15" s="15" t="str">
        <x:v>Lê Thị Bé</x:v>
      </x:c>
      <x:c r="B15" s="15" t="str">
        <x:v>Nữ</x:v>
      </x:c>
      <x:c r="C15" s="15" t="str">
        <x:v>HS183658</x:v>
      </x:c>
      <x:c r="D15" s="15" t="str">
        <x:v>An toàn thông tin</x:v>
      </x:c>
      <x:c r="E15" s="15" t="str">
        <x:v>Tân Xã</x:v>
      </x:c>
      <x:c r="F15" s="15" t="str">
        <x:v>Chung cư mini/Studio</x:v>
      </x:c>
      <x:c r="G15" s="21" t="str">
        <x:v>3.1</x:v>
      </x:c>
      <x:c r="H15" s="21" t="str">
        <x:v>2.8</x:v>
      </x:c>
      <x:c r="I15" s="27" t="str">
        <x:v>2</x:v>
      </x:c>
      <x:c r="J15" s="15" t="str">
        <x:v>Xe máy</x:v>
      </x:c>
    </x:row>
    <x:row r="16">
      <x:c r="A16" s="15" t="str">
        <x:v>Phạm Thị Đoan</x:v>
      </x:c>
      <x:c r="B16" s="15" t="str">
        <x:v>Nữ</x:v>
      </x:c>
      <x:c r="C16" s="15" t="str">
        <x:v>HC201014</x:v>
      </x:c>
      <x:c r="D16" s="15" t="str">
        <x:v>Thiết kế mỹ thuật số</x:v>
      </x:c>
      <x:c r="E16" s="15" t="str">
        <x:v>Hòa Lạc</x:v>
      </x:c>
      <x:c r="F16" s="15" t="str">
        <x:v>Phòng khép kín</x:v>
      </x:c>
      <x:c r="G16" s="21" t="str">
        <x:v>5.2</x:v>
      </x:c>
      <x:c r="H16" s="21" t="str">
        <x:v>1.9</x:v>
      </x:c>
      <x:c r="I16" s="27" t="str">
        <x:v>2</x:v>
      </x:c>
      <x:c r="J16" s="15" t="str">
        <x:v>Xe buýt</x:v>
      </x:c>
    </x:row>
    <x:row r="17">
      <x:c r="A17" s="15" t="str">
        <x:v>Vũ Văn Đạt</x:v>
      </x:c>
      <x:c r="B17" s="15" t="str">
        <x:v>Nam</x:v>
      </x:c>
      <x:c r="C17" s="15" t="str">
        <x:v>HS209456</x:v>
      </x:c>
      <x:c r="D17" s="15" t="str">
        <x:v>An toàn thông tin</x:v>
      </x:c>
      <x:c r="E17" s="15" t="str">
        <x:v>Tân Xã</x:v>
      </x:c>
      <x:c r="F17" s="15" t="str">
        <x:v>Phòng trọ cơ bản</x:v>
      </x:c>
      <x:c r="G17" s="21" t="str">
        <x:v>2.3</x:v>
      </x:c>
      <x:c r="H17" s="21" t="str">
        <x:v>2.3</x:v>
      </x:c>
      <x:c r="I17" s="27" t="str">
        <x:v>2</x:v>
      </x:c>
      <x:c r="J17" s="15" t="str">
        <x:v>Xe máy</x:v>
      </x:c>
    </x:row>
    <x:row r="18">
      <x:c r="A18" s="15" t="str">
        <x:v>Bùi Văn Hùng</x:v>
      </x:c>
      <x:c r="B18" s="15" t="str">
        <x:v>Nam</x:v>
      </x:c>
      <x:c r="C18" s="15" t="str">
        <x:v>HA186500</x:v>
      </x:c>
      <x:c r="D18" s="15" t="str">
        <x:v>Quản trị kinh doanh</x:v>
      </x:c>
      <x:c r="E18" s="15" t="str">
        <x:v>Thạch Hòa</x:v>
      </x:c>
      <x:c r="F18" s="15" t="str">
        <x:v>Chung cư mini</x:v>
      </x:c>
      <x:c r="G18" s="21" t="str">
        <x:v>3.8</x:v>
      </x:c>
      <x:c r="H18" s="21" t="str">
        <x:v>2.9</x:v>
      </x:c>
      <x:c r="I18" s="27" t="str">
        <x:v>2</x:v>
      </x:c>
      <x:c r="J18" s="15" t="str">
        <x:v>Xe máy</x:v>
      </x:c>
    </x:row>
    <x:row r="19">
      <x:c r="A19" s="15" t="str">
        <x:v>Nguyễn Thị Linh</x:v>
      </x:c>
      <x:c r="B19" s="15" t="str">
        <x:v>Nữ</x:v>
      </x:c>
      <x:c r="C19" s="15" t="str">
        <x:v>HS190813</x:v>
      </x:c>
      <x:c r="D19" s="15" t="str">
        <x:v>An toàn thông tin</x:v>
      </x:c>
      <x:c r="E19" s="15" t="str">
        <x:v>Hòa Lạc</x:v>
      </x:c>
      <x:c r="F19" s="15" t="str">
        <x:v>Phòng khép kín</x:v>
      </x:c>
      <x:c r="G19" s="21" t="str">
        <x:v>7.5</x:v>
      </x:c>
      <x:c r="H19" s="21" t="str">
        <x:v>1.5</x:v>
      </x:c>
      <x:c r="I19" s="27" t="str">
        <x:v>2</x:v>
      </x:c>
      <x:c r="J19" s="15" t="str">
        <x:v>Xe buýt</x:v>
      </x:c>
    </x:row>
    <x:row r="20">
      <x:c r="A20" s="15" t="str">
        <x:v>Lê Văn Kiên</x:v>
      </x:c>
      <x:c r="B20" s="15" t="str">
        <x:v>Nam</x:v>
      </x:c>
      <x:c r="C20" s="15" t="str">
        <x:v>HS213623</x:v>
      </x:c>
      <x:c r="D20" s="15" t="str">
        <x:v>An toàn thông tin</x:v>
      </x:c>
      <x:c r="E20" s="15" t="str">
        <x:v>Tân Xã</x:v>
      </x:c>
      <x:c r="F20" s="15" t="str">
        <x:v>Phòng trọ cơ bản</x:v>
      </x:c>
      <x:c r="G20" s="21" t="str">
        <x:v>3.9</x:v>
      </x:c>
      <x:c r="H20" s="21" t="str">
        <x:v>2.0</x:v>
      </x:c>
      <x:c r="I20" s="27" t="str">
        <x:v>1</x:v>
      </x:c>
      <x:c r="J20" s="15" t="str">
        <x:v>Xe máy</x:v>
      </x:c>
    </x:row>
    <x:row r="21">
      <x:c r="A21" s="15" t="str">
        <x:v>Phan Thị Liễu</x:v>
      </x:c>
      <x:c r="B21" s="15" t="str">
        <x:v>Nữ</x:v>
      </x:c>
      <x:c r="C21" s="15" t="str">
        <x:v>HC200764</x:v>
      </x:c>
      <x:c r="D21" s="15" t="str">
        <x:v>Thiết kế mỹ thuật số</x:v>
      </x:c>
      <x:c r="E21" s="15" t="str">
        <x:v>Dom C</x:v>
      </x:c>
      <x:c r="F21" s="15" t="str">
        <x:v>Ký túc xá</x:v>
      </x:c>
      <x:c r="G21" s="21" t="str">
        <x:v>0.4</x:v>
      </x:c>
      <x:c r="H21" s="21" t="str">
        <x:v>1.1</x:v>
      </x:c>
      <x:c r="I21" s="27" t="str">
        <x:v>4</x:v>
      </x:c>
      <x:c r="J21" s="15" t="str">
        <x:v>Đi bộ</x:v>
      </x:c>
    </x:row>
    <x:row r="22">
      <x:c r="A22" s="15" t="str">
        <x:v>Phùng Thị Quỳnh</x:v>
      </x:c>
      <x:c r="B22" s="15" t="str">
        <x:v>Nữ</x:v>
      </x:c>
      <x:c r="C22" s="15" t="str">
        <x:v>HC206868</x:v>
      </x:c>
      <x:c r="D22" s="15" t="str">
        <x:v>Thiết kế mỹ thuật số</x:v>
      </x:c>
      <x:c r="E22" s="15" t="str">
        <x:v>Dom D</x:v>
      </x:c>
      <x:c r="F22" s="15" t="str">
        <x:v>Ký túc xá</x:v>
      </x:c>
      <x:c r="G22" s="21" t="str">
        <x:v>0.6</x:v>
      </x:c>
      <x:c r="H22" s="21" t="str">
        <x:v>1.1</x:v>
      </x:c>
      <x:c r="I22" s="27" t="str">
        <x:v>4</x:v>
      </x:c>
      <x:c r="J22" s="15" t="str">
        <x:v>Đi bộ</x:v>
      </x:c>
    </x:row>
    <x:row r="23">
      <x:c r="A23" s="15" t="str">
        <x:v>Nguyễn Thị Tú</x:v>
      </x:c>
      <x:c r="B23" s="15" t="str">
        <x:v>Nữ</x:v>
      </x:c>
      <x:c r="C23" s="15" t="str">
        <x:v>HA198859</x:v>
      </x:c>
      <x:c r="D23" s="15" t="str">
        <x:v>Quản trị kinh doanh</x:v>
      </x:c>
      <x:c r="E23" s="15" t="str">
        <x:v>Hòa Lạc</x:v>
      </x:c>
      <x:c r="F23" s="15" t="str">
        <x:v>Phòng khép kín</x:v>
      </x:c>
      <x:c r="G23" s="21" t="str">
        <x:v>4.8</x:v>
      </x:c>
      <x:c r="H23" s="21" t="str">
        <x:v>2.0</x:v>
      </x:c>
      <x:c r="I23" s="27" t="str">
        <x:v>1</x:v>
      </x:c>
      <x:c r="J23" s="15" t="str">
        <x:v>Xe buýt</x:v>
      </x:c>
    </x:row>
    <x:row r="24">
      <x:c r="A24" s="15" t="str">
        <x:v>Phạm Văn Hùng</x:v>
      </x:c>
      <x:c r="B24" s="15" t="str">
        <x:v>Nam</x:v>
      </x:c>
      <x:c r="C24" s="15" t="str">
        <x:v>HA195055</x:v>
      </x:c>
      <x:c r="D24" s="15" t="str">
        <x:v>Quản trị kinh doanh</x:v>
      </x:c>
      <x:c r="E24" s="15" t="str">
        <x:v>Thạch Hòa</x:v>
      </x:c>
      <x:c r="F24" s="15" t="str">
        <x:v>Phòng trọ cơ bản</x:v>
      </x:c>
      <x:c r="G24" s="21" t="str">
        <x:v>2.9</x:v>
      </x:c>
      <x:c r="H24" s="21" t="str">
        <x:v>2.2</x:v>
      </x:c>
      <x:c r="I24" s="27" t="str">
        <x:v>2</x:v>
      </x:c>
      <x:c r="J24" s="15" t="str">
        <x:v>Xe máy</x:v>
      </x:c>
    </x:row>
    <x:row r="25">
      <x:c r="A25" s="15" t="str">
        <x:v>Vũ Thị Yến</x:v>
      </x:c>
      <x:c r="B25" s="15" t="str">
        <x:v>Nữ</x:v>
      </x:c>
      <x:c r="C25" s="15" t="str">
        <x:v>HS209180</x:v>
      </x:c>
      <x:c r="D25" s="15" t="str">
        <x:v>An toàn thông tin</x:v>
      </x:c>
      <x:c r="E25" s="15" t="str">
        <x:v>Hòa Lạc</x:v>
      </x:c>
      <x:c r="F25" s="15" t="str">
        <x:v>Phòng khép kín</x:v>
      </x:c>
      <x:c r="G25" s="21" t="str">
        <x:v>5.8</x:v>
      </x:c>
      <x:c r="H25" s="21" t="str">
        <x:v>1.7</x:v>
      </x:c>
      <x:c r="I25" s="27" t="str">
        <x:v>2</x:v>
      </x:c>
      <x:c r="J25" s="15" t="str">
        <x:v>Xe buýt</x:v>
      </x:c>
    </x:row>
    <x:row r="26">
      <x:c r="A26" s="15" t="str">
        <x:v>Nguyễn Văn Cung</x:v>
      </x:c>
      <x:c r="B26" s="15" t="str">
        <x:v>Nam</x:v>
      </x:c>
      <x:c r="C26" s="15" t="str">
        <x:v>HS219529</x:v>
      </x:c>
      <x:c r="D26" s="15" t="str">
        <x:v>An toàn thông tin</x:v>
      </x:c>
      <x:c r="E26" s="15" t="str">
        <x:v>Thạch Hòa</x:v>
      </x:c>
      <x:c r="F26" s="15" t="str">
        <x:v>Phòng trọ cơ bản</x:v>
      </x:c>
      <x:c r="G26" s="21" t="str">
        <x:v>3.6</x:v>
      </x:c>
      <x:c r="H26" s="21" t="str">
        <x:v>2.0</x:v>
      </x:c>
      <x:c r="I26" s="27" t="str">
        <x:v>2</x:v>
      </x:c>
      <x:c r="J26" s="15" t="str">
        <x:v>Xe máy</x:v>
      </x:c>
    </x:row>
    <x:row r="27">
      <x:c r="A27" s="15" t="str">
        <x:v>Bùi Văn Long</x:v>
      </x:c>
      <x:c r="B27" s="15" t="str">
        <x:v>Nam</x:v>
      </x:c>
      <x:c r="C27" s="15" t="str">
        <x:v>HA181029</x:v>
      </x:c>
      <x:c r="D27" s="15" t="str">
        <x:v>Quản trị kinh doanh</x:v>
      </x:c>
      <x:c r="E27" s="15" t="str">
        <x:v>Tân Xã</x:v>
      </x:c>
      <x:c r="F27" s="15" t="str">
        <x:v>Phòng trọ cơ bản</x:v>
      </x:c>
      <x:c r="G27" s="21" t="str">
        <x:v>4.2</x:v>
      </x:c>
      <x:c r="H27" s="21" t="str">
        <x:v>2.1</x:v>
      </x:c>
      <x:c r="I27" s="27" t="str">
        <x:v>2</x:v>
      </x:c>
      <x:c r="J27" s="15" t="str">
        <x:v>Xe máy</x:v>
      </x:c>
    </x:row>
    <x:row r="28">
      <x:c r="A28" s="15" t="str">
        <x:v>Trần Văn Phát</x:v>
      </x:c>
      <x:c r="B28" s="15" t="str">
        <x:v>Nam</x:v>
      </x:c>
      <x:c r="C28" s="15" t="str">
        <x:v>HS218134</x:v>
      </x:c>
      <x:c r="D28" s="15" t="str">
        <x:v>An toàn thông tin</x:v>
      </x:c>
      <x:c r="E28" s="15" t="str">
        <x:v>Tân Xã</x:v>
      </x:c>
      <x:c r="F28" s="15" t="str">
        <x:v>Phòng trọ cơ bản</x:v>
      </x:c>
      <x:c r="G28" s="21" t="str">
        <x:v>2.4</x:v>
      </x:c>
      <x:c r="H28" s="21" t="str">
        <x:v>2.3</x:v>
      </x:c>
      <x:c r="I28" s="27" t="str">
        <x:v>1</x:v>
      </x:c>
      <x:c r="J28" s="15" t="str">
        <x:v>Xe máy</x:v>
      </x:c>
    </x:row>
    <x:row r="29">
      <x:c r="A29" s="15" t="str">
        <x:v>Nguyễn Thị Quốc</x:v>
      </x:c>
      <x:c r="B29" s="15" t="str">
        <x:v>Nữ</x:v>
      </x:c>
      <x:c r="C29" s="15" t="str">
        <x:v>HE208712</x:v>
      </x:c>
      <x:c r="D29" s="15" t="str">
        <x:v>Công nghệ thông tin</x:v>
      </x:c>
      <x:c r="E29" s="15" t="str">
        <x:v>Dom A</x:v>
      </x:c>
      <x:c r="F29" s="15" t="str">
        <x:v>Ký túc xá</x:v>
      </x:c>
      <x:c r="G29" s="21" t="str">
        <x:v>0.1</x:v>
      </x:c>
      <x:c r="H29" s="21" t="str">
        <x:v>1.1</x:v>
      </x:c>
      <x:c r="I29" s="27" t="str">
        <x:v>4</x:v>
      </x:c>
      <x:c r="J29" s="15" t="str">
        <x:v>Đi bộ</x:v>
      </x:c>
    </x:row>
    <x:row r="30">
      <x:c r="A30" s="15" t="str">
        <x:v>Nguyễn Thị Vui</x:v>
      </x:c>
      <x:c r="B30" s="15" t="str">
        <x:v>Nữ</x:v>
      </x:c>
      <x:c r="C30" s="15" t="str">
        <x:v>HS189594</x:v>
      </x:c>
      <x:c r="D30" s="15" t="str">
        <x:v>An toàn thông tin</x:v>
      </x:c>
      <x:c r="E30" s="15" t="str">
        <x:v>Dom B</x:v>
      </x:c>
      <x:c r="F30" s="15" t="str">
        <x:v>Ký túc xá</x:v>
      </x:c>
      <x:c r="G30" s="21" t="str">
        <x:v>0.4</x:v>
      </x:c>
      <x:c r="H30" s="21" t="str">
        <x:v>1.1</x:v>
      </x:c>
      <x:c r="I30" s="27" t="str">
        <x:v>4</x:v>
      </x:c>
      <x:c r="J30" s="15" t="str">
        <x:v>Đi bộ</x:v>
      </x:c>
    </x:row>
    <x:row r="31">
      <x:c r="A31" s="15" t="str">
        <x:v>Hoàng Văn Chung</x:v>
      </x:c>
      <x:c r="B31" s="15" t="str">
        <x:v>Nam</x:v>
      </x:c>
      <x:c r="C31" s="15" t="str">
        <x:v>HS182946</x:v>
      </x:c>
      <x:c r="D31" s="15" t="str">
        <x:v>An toàn thông tin</x:v>
      </x:c>
      <x:c r="E31" s="15" t="str">
        <x:v>Thạch Hòa</x:v>
      </x:c>
      <x:c r="F31" s="15" t="str">
        <x:v>Chung cư mini</x:v>
      </x:c>
      <x:c r="G31" s="21" t="str">
        <x:v>3.4</x:v>
      </x:c>
      <x:c r="H31" s="21" t="str">
        <x:v>2.7</x:v>
      </x:c>
      <x:c r="I31" s="27" t="str">
        <x:v>2</x:v>
      </x:c>
      <x:c r="J31" s="15" t="str">
        <x:v>Xe máy</x:v>
      </x:c>
    </x:row>
    <x:row r="32">
      <x:c r="A32" s="15" t="str">
        <x:v>Bùi Thị Đào</x:v>
      </x:c>
      <x:c r="B32" s="15" t="str">
        <x:v>Nữ</x:v>
      </x:c>
      <x:c r="C32" s="15" t="str">
        <x:v>HE214000</x:v>
      </x:c>
      <x:c r="D32" s="15" t="str">
        <x:v>Công nghệ thông tin</x:v>
      </x:c>
      <x:c r="E32" s="15" t="str">
        <x:v>Hòa Lạc</x:v>
      </x:c>
      <x:c r="F32" s="15" t="str">
        <x:v>Phòng khép kín</x:v>
      </x:c>
      <x:c r="G32" s="21" t="str">
        <x:v>6.4</x:v>
      </x:c>
      <x:c r="H32" s="21" t="str">
        <x:v>1.7</x:v>
      </x:c>
      <x:c r="I32" s="27" t="str">
        <x:v>1</x:v>
      </x:c>
      <x:c r="J32" s="15" t="str">
        <x:v>Xe buýt</x:v>
      </x:c>
    </x:row>
    <x:row r="33">
      <x:c r="A33" s="15" t="str">
        <x:v>Nguyễn Văn Tuấn</x:v>
      </x:c>
      <x:c r="B33" s="15" t="str">
        <x:v>Nam</x:v>
      </x:c>
      <x:c r="C33" s="15" t="str">
        <x:v>HE191342</x:v>
      </x:c>
      <x:c r="D33" s="15" t="str">
        <x:v>Công nghệ thông tin</x:v>
      </x:c>
      <x:c r="E33" s="15" t="str">
        <x:v>Tân Xã</x:v>
      </x:c>
      <x:c r="F33" s="15" t="str">
        <x:v>Phòng trọ cơ bản</x:v>
      </x:c>
      <x:c r="G33" s="21" t="str">
        <x:v>3.0</x:v>
      </x:c>
      <x:c r="H33" s="21" t="str">
        <x:v>2.5</x:v>
      </x:c>
      <x:c r="I33" s="27" t="str">
        <x:v>1</x:v>
      </x:c>
      <x:c r="J33" s="15" t="str">
        <x:v>Xe máy</x:v>
      </x:c>
    </x:row>
    <x:row r="34">
      <x:c r="A34" s="15" t="str">
        <x:v>Lê Thị Giáp</x:v>
      </x:c>
      <x:c r="B34" s="15" t="str">
        <x:v>Nữ</x:v>
      </x:c>
      <x:c r="C34" s="15" t="str">
        <x:v>HS219412</x:v>
      </x:c>
      <x:c r="D34" s="15" t="str">
        <x:v>An toàn thông tin</x:v>
      </x:c>
      <x:c r="E34" s="15" t="str">
        <x:v>Dom D</x:v>
      </x:c>
      <x:c r="F34" s="15" t="str">
        <x:v>Ký túc xá</x:v>
      </x:c>
      <x:c r="G34" s="21" t="str">
        <x:v>0.2</x:v>
      </x:c>
      <x:c r="H34" s="21" t="str">
        <x:v>1.1</x:v>
      </x:c>
      <x:c r="I34" s="27" t="str">
        <x:v>4</x:v>
      </x:c>
      <x:c r="J34" s="15" t="str">
        <x:v>Đi bộ</x:v>
      </x:c>
    </x:row>
    <x:row r="35">
      <x:c r="A35" s="15" t="str">
        <x:v>Trần Văn Hương</x:v>
      </x:c>
      <x:c r="B35" s="15" t="str">
        <x:v>Nam</x:v>
      </x:c>
      <x:c r="C35" s="15" t="str">
        <x:v>HS204920</x:v>
      </x:c>
      <x:c r="D35" s="15" t="str">
        <x:v>An toàn thông tin</x:v>
      </x:c>
      <x:c r="E35" s="15" t="str">
        <x:v>Thạch Hòa</x:v>
      </x:c>
      <x:c r="F35" s="15" t="str">
        <x:v>Phòng trọ cơ bản</x:v>
      </x:c>
      <x:c r="G35" s="21" t="str">
        <x:v>4.6</x:v>
      </x:c>
      <x:c r="H35" s="21" t="str">
        <x:v>1.8</x:v>
      </x:c>
      <x:c r="I35" s="27" t="str">
        <x:v>2</x:v>
      </x:c>
      <x:c r="J35" s="15" t="str">
        <x:v>Xe máy</x:v>
      </x:c>
    </x:row>
    <x:row r="36">
      <x:c r="A36" s="15" t="str">
        <x:v>Lê Văn Phú</x:v>
      </x:c>
      <x:c r="B36" s="15" t="str">
        <x:v>Nam</x:v>
      </x:c>
      <x:c r="C36" s="15" t="str">
        <x:v>HS189978</x:v>
      </x:c>
      <x:c r="D36" s="15" t="str">
        <x:v>An toàn thông tin</x:v>
      </x:c>
      <x:c r="E36" s="15" t="str">
        <x:v>Tân Xã</x:v>
      </x:c>
      <x:c r="F36" s="15" t="str">
        <x:v>Phòng trọ cơ bản</x:v>
      </x:c>
      <x:c r="G36" s="21" t="str">
        <x:v>2.5</x:v>
      </x:c>
      <x:c r="H36" s="21" t="str">
        <x:v>2.3</x:v>
      </x:c>
      <x:c r="I36" s="27" t="str">
        <x:v>1</x:v>
      </x:c>
      <x:c r="J36" s="15" t="str">
        <x:v>Xe máy</x:v>
      </x:c>
    </x:row>
    <x:row r="37">
      <x:c r="A37" s="15" t="str">
        <x:v>Phan Thị Quý</x:v>
      </x:c>
      <x:c r="B37" s="15" t="str">
        <x:v>Nữ</x:v>
      </x:c>
      <x:c r="C37" s="15" t="str">
        <x:v>HA181200</x:v>
      </x:c>
      <x:c r="D37" s="15" t="str">
        <x:v>Quản trị kinh doanh</x:v>
      </x:c>
      <x:c r="E37" s="15" t="str">
        <x:v>Dom B</x:v>
      </x:c>
      <x:c r="F37" s="15" t="str">
        <x:v>Ký túc xá</x:v>
      </x:c>
      <x:c r="G37" s="21" t="str">
        <x:v>0.6</x:v>
      </x:c>
      <x:c r="H37" s="21" t="str">
        <x:v>1.1</x:v>
      </x:c>
      <x:c r="I37" s="27" t="str">
        <x:v>4</x:v>
      </x:c>
      <x:c r="J37" s="15" t="str">
        <x:v>Đi bộ</x:v>
      </x:c>
    </x:row>
    <x:row r="38">
      <x:c r="A38" s="15" t="str">
        <x:v>Nguyễn Thị Thu</x:v>
      </x:c>
      <x:c r="B38" s="15" t="str">
        <x:v>Nữ</x:v>
      </x:c>
      <x:c r="C38" s="15" t="str">
        <x:v>HE188388</x:v>
      </x:c>
      <x:c r="D38" s="15" t="str">
        <x:v>Công nghệ thông tin</x:v>
      </x:c>
      <x:c r="E38" s="15" t="str">
        <x:v>Hòa Lạc</x:v>
      </x:c>
      <x:c r="F38" s="15" t="str">
        <x:v>Phòng khép kín</x:v>
      </x:c>
      <x:c r="G38" s="21" t="str">
        <x:v>5.1</x:v>
      </x:c>
      <x:c r="H38" s="21" t="str">
        <x:v>1.9</x:v>
      </x:c>
      <x:c r="I38" s="27" t="str">
        <x:v>1</x:v>
      </x:c>
      <x:c r="J38" s="15" t="str">
        <x:v>Xe buýt</x:v>
      </x:c>
    </x:row>
    <x:row r="39">
      <x:c r="A39" s="15" t="str">
        <x:v>Nguyễn Thị Xuân</x:v>
      </x:c>
      <x:c r="B39" s="15" t="str">
        <x:v>Nữ</x:v>
      </x:c>
      <x:c r="C39" s="15" t="str">
        <x:v>HS202491</x:v>
      </x:c>
      <x:c r="D39" s="15" t="str">
        <x:v>An toàn thông tin</x:v>
      </x:c>
      <x:c r="E39" s="15" t="str">
        <x:v>Hòa Lạc</x:v>
      </x:c>
      <x:c r="F39" s="15" t="str">
        <x:v>Phòng khép kín</x:v>
      </x:c>
      <x:c r="G39" s="21" t="str">
        <x:v>8.2</x:v>
      </x:c>
      <x:c r="H39" s="21" t="str">
        <x:v>1.3</x:v>
      </x:c>
      <x:c r="I39" s="27" t="str">
        <x:v>2</x:v>
      </x:c>
      <x:c r="J39" s="15" t="str">
        <x:v>Xe buýt</x:v>
      </x:c>
    </x:row>
    <x:row r="40">
      <x:c r="A40" s="15" t="str">
        <x:v>Phạm Văn Bằng</x:v>
      </x:c>
      <x:c r="B40" s="15" t="str">
        <x:v>Nam</x:v>
      </x:c>
      <x:c r="C40" s="15" t="str">
        <x:v>HS210643</x:v>
      </x:c>
      <x:c r="D40" s="15" t="str">
        <x:v>An toàn thông tin</x:v>
      </x:c>
      <x:c r="E40" s="15" t="str">
        <x:v>Thạch Hòa</x:v>
      </x:c>
      <x:c r="F40" s="15" t="str">
        <x:v>Phòng trọ cơ bản</x:v>
      </x:c>
      <x:c r="G40" s="21" t="str">
        <x:v>3.0</x:v>
      </x:c>
      <x:c r="H40" s="21" t="str">
        <x:v>2.1</x:v>
      </x:c>
      <x:c r="I40" s="27" t="str">
        <x:v>1</x:v>
      </x:c>
      <x:c r="J40" s="15" t="str">
        <x:v>Xe máy</x:v>
      </x:c>
    </x:row>
    <x:row r="41">
      <x:c r="A41" s="15" t="str">
        <x:v>Lê Thị Hạnh</x:v>
      </x:c>
      <x:c r="B41" s="15" t="str">
        <x:v>Nữ</x:v>
      </x:c>
      <x:c r="C41" s="15" t="str">
        <x:v>HC185573</x:v>
      </x:c>
      <x:c r="D41" s="15" t="str">
        <x:v>Thiết kế mỹ thuật số</x:v>
      </x:c>
      <x:c r="E41" s="15" t="str">
        <x:v>Hòa Lạc</x:v>
      </x:c>
      <x:c r="F41" s="15" t="str">
        <x:v>Phòng khép kín</x:v>
      </x:c>
      <x:c r="G41" s="21" t="str">
        <x:v>5.6</x:v>
      </x:c>
      <x:c r="H41" s="21" t="str">
        <x:v>1.9</x:v>
      </x:c>
      <x:c r="I41" s="27" t="str">
        <x:v>1</x:v>
      </x:c>
      <x:c r="J41" s="15" t="str">
        <x:v>Xe buýt</x:v>
      </x:c>
    </x:row>
    <x:row r="42">
      <x:c r="A42" s="15" t="str">
        <x:v>Bùi Văn Oanh</x:v>
      </x:c>
      <x:c r="B42" s="15" t="str">
        <x:v>Nam</x:v>
      </x:c>
      <x:c r="C42" s="15" t="str">
        <x:v>HC197475</x:v>
      </x:c>
      <x:c r="D42" s="15" t="str">
        <x:v>Thiết kế mỹ thuật số</x:v>
      </x:c>
      <x:c r="E42" s="15" t="str">
        <x:v>Tân Xã</x:v>
      </x:c>
      <x:c r="F42" s="15" t="str">
        <x:v>Phòng trọ cơ bản</x:v>
      </x:c>
      <x:c r="G42" s="21" t="str">
        <x:v>2.7</x:v>
      </x:c>
      <x:c r="H42" s="21" t="str">
        <x:v>1.9</x:v>
      </x:c>
      <x:c r="I42" s="27" t="str">
        <x:v>2</x:v>
      </x:c>
      <x:c r="J42" s="15" t="str">
        <x:v>Xe máy</x:v>
      </x:c>
    </x:row>
    <x:row r="43">
      <x:c r="A43" s="15" t="str">
        <x:v>Nguyễn Thị Phúc</x:v>
      </x:c>
      <x:c r="B43" s="15" t="str">
        <x:v>Nữ</x:v>
      </x:c>
      <x:c r="C43" s="15" t="str">
        <x:v>HC191127</x:v>
      </x:c>
      <x:c r="D43" s="15" t="str">
        <x:v>Thiết kế mỹ thuật số</x:v>
      </x:c>
      <x:c r="E43" s="15" t="str">
        <x:v>Dom C</x:v>
      </x:c>
      <x:c r="F43" s="15" t="str">
        <x:v>Ký túc xá</x:v>
      </x:c>
      <x:c r="G43" s="21" t="str">
        <x:v>0.7</x:v>
      </x:c>
      <x:c r="H43" s="21" t="str">
        <x:v>1.1</x:v>
      </x:c>
      <x:c r="I43" s="27" t="str">
        <x:v>4</x:v>
      </x:c>
      <x:c r="J43" s="15" t="str">
        <x:v>Đi bộ</x:v>
      </x:c>
    </x:row>
    <x:row r="44">
      <x:c r="A44" s="15" t="str">
        <x:v>Phan Thị Trinh</x:v>
      </x:c>
      <x:c r="B44" s="15" t="str">
        <x:v>Nữ</x:v>
      </x:c>
      <x:c r="C44" s="15" t="str">
        <x:v>HS184423</x:v>
      </x:c>
      <x:c r="D44" s="15" t="str">
        <x:v>An toàn thông tin</x:v>
      </x:c>
      <x:c r="E44" s="15" t="str">
        <x:v>Hòa Lạc</x:v>
      </x:c>
      <x:c r="F44" s="15" t="str">
        <x:v>Phòng khép kín</x:v>
      </x:c>
      <x:c r="G44" s="21" t="str">
        <x:v>4.7</x:v>
      </x:c>
      <x:c r="H44" s="21" t="str">
        <x:v>1.9</x:v>
      </x:c>
      <x:c r="I44" s="27" t="str">
        <x:v>2</x:v>
      </x:c>
      <x:c r="J44" s="15" t="str">
        <x:v>Xe buýt</x:v>
      </x:c>
    </x:row>
    <x:row r="45">
      <x:c r="A45" s="15" t="str">
        <x:v>Ngô Thị Yến</x:v>
      </x:c>
      <x:c r="B45" s="15" t="str">
        <x:v>Nữ</x:v>
      </x:c>
      <x:c r="C45" s="15" t="str">
        <x:v>HE181065</x:v>
      </x:c>
      <x:c r="D45" s="15" t="str">
        <x:v>Công nghệ thông tin</x:v>
      </x:c>
      <x:c r="E45" s="15" t="str">
        <x:v>Dom A</x:v>
      </x:c>
      <x:c r="F45" s="15" t="str">
        <x:v>Ký túc xá</x:v>
      </x:c>
      <x:c r="G45" s="21" t="str">
        <x:v>0.2</x:v>
      </x:c>
      <x:c r="H45" s="21" t="str">
        <x:v>0.8</x:v>
      </x:c>
      <x:c r="I45" s="27" t="str">
        <x:v>6</x:v>
      </x:c>
      <x:c r="J45" s="15" t="str">
        <x:v>Đi bộ</x:v>
      </x:c>
    </x:row>
    <x:row r="46">
      <x:c r="A46" s="15" t="str">
        <x:v>Đặng Văn Phúc</x:v>
      </x:c>
      <x:c r="B46" s="15" t="str">
        <x:v>Nam</x:v>
      </x:c>
      <x:c r="C46" s="15" t="str">
        <x:v>HE190995</x:v>
      </x:c>
      <x:c r="D46" s="15" t="str">
        <x:v>Công nghệ thông tin</x:v>
      </x:c>
      <x:c r="E46" s="15" t="str">
        <x:v>Dom B</x:v>
      </x:c>
      <x:c r="F46" s="15" t="str">
        <x:v>Ký túc xá</x:v>
      </x:c>
      <x:c r="G46" s="21" t="str">
        <x:v>0.3</x:v>
      </x:c>
      <x:c r="H46" s="21" t="str">
        <x:v>0.8</x:v>
      </x:c>
      <x:c r="I46" s="27" t="str">
        <x:v>6</x:v>
      </x:c>
      <x:c r="J46" s="15" t="str">
        <x:v>Đi bộ</x:v>
      </x:c>
    </x:row>
    <x:row r="47">
      <x:c r="A47" s="15" t="str">
        <x:v>Dương Bích Bình</x:v>
      </x:c>
      <x:c r="B47" s="15" t="str">
        <x:v>Nữ</x:v>
      </x:c>
      <x:c r="C47" s="15" t="str">
        <x:v>HE186023</x:v>
      </x:c>
      <x:c r="D47" s="15" t="str">
        <x:v>Công nghệ thông tin</x:v>
      </x:c>
      <x:c r="E47" s="15" t="str">
        <x:v>Tân Xã</x:v>
      </x:c>
      <x:c r="F47" s="15" t="str">
        <x:v>Phòng khép kín</x:v>
      </x:c>
      <x:c r="G47" s="21" t="str">
        <x:v>3.0</x:v>
      </x:c>
      <x:c r="H47" s="21" t="str">
        <x:v>2.5</x:v>
      </x:c>
      <x:c r="I47" s="27" t="str">
        <x:v>1</x:v>
      </x:c>
      <x:c r="J47" s="15" t="str">
        <x:v>Xe máy</x:v>
      </x:c>
    </x:row>
    <x:row r="48">
      <x:c r="A48" s="15" t="str">
        <x:v>Phùng Thu Hạnh</x:v>
      </x:c>
      <x:c r="B48" s="15" t="str">
        <x:v>Nữ</x:v>
      </x:c>
      <x:c r="C48" s="15" t="str">
        <x:v>HS202230</x:v>
      </x:c>
      <x:c r="D48" s="15" t="str">
        <x:v>An toàn thông tin</x:v>
      </x:c>
      <x:c r="E48" s="15" t="str">
        <x:v>Tân Xã</x:v>
      </x:c>
      <x:c r="F48" s="15" t="str">
        <x:v>Phòng trọ cơ bản</x:v>
      </x:c>
      <x:c r="G48" s="21" t="str">
        <x:v>0.5</x:v>
      </x:c>
      <x:c r="H48" s="21" t="str">
        <x:v>1.6</x:v>
      </x:c>
      <x:c r="I48" s="27" t="str">
        <x:v>2</x:v>
      </x:c>
      <x:c r="J48" s="15" t="str">
        <x:v>Đi bộ</x:v>
      </x:c>
    </x:row>
    <x:row r="49">
      <x:c r="A49" s="15" t="str">
        <x:v>Nguyễn Quang Long</x:v>
      </x:c>
      <x:c r="B49" s="15" t="str">
        <x:v>Nam</x:v>
      </x:c>
      <x:c r="C49" s="15" t="str">
        <x:v>HE215088</x:v>
      </x:c>
      <x:c r="D49" s="15" t="str">
        <x:v>Công nghệ thông tin</x:v>
      </x:c>
      <x:c r="E49" s="15" t="str">
        <x:v>Tân Xã</x:v>
      </x:c>
      <x:c r="F49" s="15" t="str">
        <x:v>Phòng trọ cơ bản</x:v>
      </x:c>
      <x:c r="G49" s="21" t="str">
        <x:v>3.2</x:v>
      </x:c>
      <x:c r="H49" s="21" t="str">
        <x:v>2.0</x:v>
      </x:c>
      <x:c r="I49" s="27" t="str">
        <x:v>2</x:v>
      </x:c>
      <x:c r="J49" s="15" t="str">
        <x:v>Xe máy</x:v>
      </x:c>
    </x:row>
    <x:row r="50">
      <x:c r="A50" s="15" t="str">
        <x:v>Trần Quang Nam</x:v>
      </x:c>
      <x:c r="B50" s="15" t="str">
        <x:v>Nam</x:v>
      </x:c>
      <x:c r="C50" s="15" t="str">
        <x:v>HC208881</x:v>
      </x:c>
      <x:c r="D50" s="15" t="str">
        <x:v>Thiết kế mỹ thuật số</x:v>
      </x:c>
      <x:c r="E50" s="15" t="str">
        <x:v>Thạch Hòa</x:v>
      </x:c>
      <x:c r="F50" s="15" t="str">
        <x:v>Phòng trọ cơ bản</x:v>
      </x:c>
      <x:c r="G50" s="21" t="str">
        <x:v>2.6</x:v>
      </x:c>
      <x:c r="H50" s="21" t="str">
        <x:v>2.3</x:v>
      </x:c>
      <x:c r="I50" s="27" t="str">
        <x:v>2</x:v>
      </x:c>
      <x:c r="J50" s="15" t="str">
        <x:v>Xe máy</x:v>
      </x:c>
    </x:row>
    <x:row r="51">
      <x:c r="A51" s="15" t="str">
        <x:v>Bùi Hữu Lâm</x:v>
      </x:c>
      <x:c r="B51" s="15" t="str">
        <x:v>Nam</x:v>
      </x:c>
      <x:c r="C51" s="15" t="str">
        <x:v>HE188935</x:v>
      </x:c>
      <x:c r="D51" s="15" t="str">
        <x:v>Công nghệ thông tin</x:v>
      </x:c>
      <x:c r="E51" s="15" t="str">
        <x:v>Thạch Hòa</x:v>
      </x:c>
      <x:c r="F51" s="15" t="str">
        <x:v>Chung cư mini</x:v>
      </x:c>
      <x:c r="G51" s="21" t="str">
        <x:v>3.0</x:v>
      </x:c>
      <x:c r="H51" s="21" t="str">
        <x:v>3.0</x:v>
      </x:c>
      <x:c r="I51" s="27" t="str">
        <x:v>2</x:v>
      </x:c>
      <x:c r="J51" s="15" t="str">
        <x:v>Xe máy</x:v>
      </x:c>
    </x:row>
    <x:row r="52">
      <x:c r="A52" s="15" t="str">
        <x:v>Vũ Xuân Hải</x:v>
      </x:c>
      <x:c r="B52" s="15" t="str">
        <x:v>Nam</x:v>
      </x:c>
      <x:c r="C52" s="15" t="str">
        <x:v>HE217469</x:v>
      </x:c>
      <x:c r="D52" s="15" t="str">
        <x:v>Công nghệ thông tin</x:v>
      </x:c>
      <x:c r="E52" s="15" t="str">
        <x:v>Thạch Hòa</x:v>
      </x:c>
      <x:c r="F52" s="15" t="str">
        <x:v>Phòng trọ cơ bản</x:v>
      </x:c>
      <x:c r="G52" s="21" t="str">
        <x:v>3.3</x:v>
      </x:c>
      <x:c r="H52" s="21" t="str">
        <x:v>2.2</x:v>
      </x:c>
      <x:c r="I52" s="27" t="str">
        <x:v>1</x:v>
      </x:c>
      <x:c r="J52" s="15" t="str">
        <x:v>Xe máy</x:v>
      </x:c>
    </x:row>
    <x:row r="53">
      <x:c r="A53" s="15" t="str">
        <x:v>Phùng Mỹ Khánh</x:v>
      </x:c>
      <x:c r="B53" s="15" t="str">
        <x:v>Nữ</x:v>
      </x:c>
      <x:c r="C53" s="15" t="str">
        <x:v>HS204692</x:v>
      </x:c>
      <x:c r="D53" s="15" t="str">
        <x:v>An toàn thông tin</x:v>
      </x:c>
      <x:c r="E53" s="15" t="str">
        <x:v>Thạch Hòa</x:v>
      </x:c>
      <x:c r="F53" s="15" t="str">
        <x:v>Phòng trọ cơ bản</x:v>
      </x:c>
      <x:c r="G53" s="21" t="str">
        <x:v>3.9</x:v>
      </x:c>
      <x:c r="H53" s="21" t="str">
        <x:v>1.9</x:v>
      </x:c>
      <x:c r="I53" s="27" t="str">
        <x:v>2</x:v>
      </x:c>
      <x:c r="J53" s="15" t="str">
        <x:v>Xe máy</x:v>
      </x:c>
    </x:row>
    <x:row r="54">
      <x:c r="A54" s="15" t="str">
        <x:v>Hoàng Thu Kiều</x:v>
      </x:c>
      <x:c r="B54" s="15" t="str">
        <x:v>Nữ</x:v>
      </x:c>
      <x:c r="C54" s="15" t="str">
        <x:v>HE201633</x:v>
      </x:c>
      <x:c r="D54" s="15" t="str">
        <x:v>Công nghệ thông tin</x:v>
      </x:c>
      <x:c r="E54" s="15" t="str">
        <x:v>Thạch Hòa</x:v>
      </x:c>
      <x:c r="F54" s="15" t="str">
        <x:v>Chung cư mini</x:v>
      </x:c>
      <x:c r="G54" s="21" t="str">
        <x:v>4.2</x:v>
      </x:c>
      <x:c r="H54" s="21" t="str">
        <x:v>2.8</x:v>
      </x:c>
      <x:c r="I54" s="27" t="str">
        <x:v>2</x:v>
      </x:c>
      <x:c r="J54" s="15" t="str">
        <x:v>Xe máy</x:v>
      </x:c>
    </x:row>
    <x:row r="55">
      <x:c r="A55" s="15" t="str">
        <x:v>Ngô Thị Vy</x:v>
      </x:c>
      <x:c r="B55" s="15" t="str">
        <x:v>Nữ</x:v>
      </x:c>
      <x:c r="C55" s="15" t="str">
        <x:v>HE213512</x:v>
      </x:c>
      <x:c r="D55" s="15" t="str">
        <x:v>Công nghệ thông tin</x:v>
      </x:c>
      <x:c r="E55" s="15" t="str">
        <x:v>Thạch Hòa</x:v>
      </x:c>
      <x:c r="F55" s="15" t="str">
        <x:v>Phòng trọ cơ bản</x:v>
      </x:c>
      <x:c r="G55" s="21" t="str">
        <x:v>4.5</x:v>
      </x:c>
      <x:c r="H55" s="21" t="str">
        <x:v>2.0</x:v>
      </x:c>
      <x:c r="I55" s="27" t="str">
        <x:v>1</x:v>
      </x:c>
      <x:c r="J55" s="15" t="str">
        <x:v>Xe máy</x:v>
      </x:c>
    </x:row>
    <x:row r="56">
      <x:c r="A56" s="15" t="str">
        <x:v>Dương Xuân Long</x:v>
      </x:c>
      <x:c r="B56" s="15" t="str">
        <x:v>Nam</x:v>
      </x:c>
      <x:c r="C56" s="15" t="str">
        <x:v>HC207439</x:v>
      </x:c>
      <x:c r="D56" s="15" t="str">
        <x:v>Thiết kế mỹ thuật số</x:v>
      </x:c>
      <x:c r="E56" s="15" t="str">
        <x:v>Hòa Lạc</x:v>
      </x:c>
      <x:c r="F56" s="15" t="str">
        <x:v>Phòng khép kín</x:v>
      </x:c>
      <x:c r="G56" s="21" t="str">
        <x:v>6.3</x:v>
      </x:c>
      <x:c r="H56" s="21" t="str">
        <x:v>1.5</x:v>
      </x:c>
      <x:c r="I56" s="27" t="str">
        <x:v>2</x:v>
      </x:c>
      <x:c r="J56" s="15" t="str">
        <x:v>Xe buýt</x:v>
      </x:c>
    </x:row>
    <x:row r="57">
      <x:c r="A57" s="15" t="str">
        <x:v>Vũ Kim Khánh</x:v>
      </x:c>
      <x:c r="B57" s="15" t="str">
        <x:v>Nữ</x:v>
      </x:c>
      <x:c r="C57" s="15" t="str">
        <x:v>HC196142</x:v>
      </x:c>
      <x:c r="D57" s="15" t="str">
        <x:v>Thiết kế mỹ thuật số</x:v>
      </x:c>
      <x:c r="E57" s="15" t="str">
        <x:v>Hòa Lạc</x:v>
      </x:c>
      <x:c r="F57" s="15" t="str">
        <x:v>Phòng khép kín</x:v>
      </x:c>
      <x:c r="G57" s="21" t="str">
        <x:v>6.6</x:v>
      </x:c>
      <x:c r="H57" s="21" t="str">
        <x:v>1.5</x:v>
      </x:c>
      <x:c r="I57" s="27" t="str">
        <x:v>1</x:v>
      </x:c>
      <x:c r="J57" s="15" t="str">
        <x:v>Xe buýt</x:v>
      </x:c>
    </x:row>
    <x:row r="58">
      <x:c r="A58" s="15" t="str">
        <x:v>Phạm Kim Khánh</x:v>
      </x:c>
      <x:c r="B58" s="15" t="str">
        <x:v>Nữ</x:v>
      </x:c>
      <x:c r="C58" s="15" t="str">
        <x:v>HS213758</x:v>
      </x:c>
      <x:c r="D58" s="15" t="str">
        <x:v>An toàn thông tin</x:v>
      </x:c>
      <x:c r="E58" s="15" t="str">
        <x:v>Hòa Lạc</x:v>
      </x:c>
      <x:c r="F58" s="15" t="str">
        <x:v>Phòng khép kín</x:v>
      </x:c>
      <x:c r="G58" s="21" t="str">
        <x:v>6.9</x:v>
      </x:c>
      <x:c r="H58" s="21" t="str">
        <x:v>1.5</x:v>
      </x:c>
      <x:c r="I58" s="27" t="str">
        <x:v>1</x:v>
      </x:c>
      <x:c r="J58" s="15" t="str">
        <x:v>Xe buýt</x:v>
      </x:c>
    </x:row>
    <x:row r="59">
      <x:c r="A59" s="15" t="str">
        <x:v>Bùi Kim Kiều</x:v>
      </x:c>
      <x:c r="B59" s="15" t="str">
        <x:v>Nữ</x:v>
      </x:c>
      <x:c r="C59" s="15" t="str">
        <x:v>HE207121</x:v>
      </x:c>
      <x:c r="D59" s="15" t="str">
        <x:v>Công nghệ thông tin</x:v>
      </x:c>
      <x:c r="E59" s="15" t="str">
        <x:v>Dom B</x:v>
      </x:c>
      <x:c r="F59" s="15" t="str">
        <x:v>Ký túc xá</x:v>
      </x:c>
      <x:c r="G59" s="21" t="str">
        <x:v>0.5</x:v>
      </x:c>
      <x:c r="H59" s="21" t="str">
        <x:v>0.8</x:v>
      </x:c>
      <x:c r="I59" s="27" t="str">
        <x:v>6</x:v>
      </x:c>
      <x:c r="J59" s="15" t="str">
        <x:v>Đi bộ</x:v>
      </x:c>
    </x:row>
    <x:row r="60">
      <x:c r="A60" s="15" t="str">
        <x:v>Nguyễn Minh Long</x:v>
      </x:c>
      <x:c r="B60" s="15" t="str">
        <x:v>Nam</x:v>
      </x:c>
      <x:c r="C60" s="15" t="str">
        <x:v>HA201044</x:v>
      </x:c>
      <x:c r="D60" s="15" t="str">
        <x:v>Quản trị kinh doanh</x:v>
      </x:c>
      <x:c r="E60" s="15" t="str">
        <x:v>Dom D</x:v>
      </x:c>
      <x:c r="F60" s="15" t="str">
        <x:v>Ký túc xá</x:v>
      </x:c>
      <x:c r="G60" s="21" t="str">
        <x:v>0.3</x:v>
      </x:c>
      <x:c r="H60" s="21" t="str">
        <x:v>1.1</x:v>
      </x:c>
      <x:c r="I60" s="27" t="str">
        <x:v>4</x:v>
      </x:c>
      <x:c r="J60" s="15" t="str">
        <x:v>Đi bộ</x:v>
      </x:c>
    </x:row>
    <x:row r="61">
      <x:c r="A61" s="15" t="str">
        <x:v>Lê Đức Đăng</x:v>
      </x:c>
      <x:c r="B61" s="15" t="str">
        <x:v>Nam</x:v>
      </x:c>
      <x:c r="C61" s="15" t="str">
        <x:v>HA182971</x:v>
      </x:c>
      <x:c r="D61" s="15" t="str">
        <x:v>Quản trị kinh doanh</x:v>
      </x:c>
      <x:c r="E61" s="15" t="str">
        <x:v>Dom D</x:v>
      </x:c>
      <x:c r="F61" s="15" t="str">
        <x:v>Ký túc xá</x:v>
      </x:c>
      <x:c r="G61" s="21" t="str">
        <x:v>0.6</x:v>
      </x:c>
      <x:c r="H61" s="21" t="str">
        <x:v>0.8</x:v>
      </x:c>
      <x:c r="I61" s="27" t="str">
        <x:v>6</x:v>
      </x:c>
      <x:c r="J61" s="15" t="str">
        <x:v>Đi bộ</x:v>
      </x:c>
    </x:row>
    <x:row r="62">
      <x:c r="A62" s="15" t="str">
        <x:v>Đỗ Diệu Hạnh</x:v>
      </x:c>
      <x:c r="B62" s="15" t="str">
        <x:v>Nữ</x:v>
      </x:c>
      <x:c r="C62" s="15" t="str">
        <x:v>HE184166</x:v>
      </x:c>
      <x:c r="D62" s="15" t="str">
        <x:v>Công nghệ thông tin</x:v>
      </x:c>
      <x:c r="E62" s="15" t="str">
        <x:v>Hòa Lạc</x:v>
      </x:c>
      <x:c r="F62" s="15" t="str">
        <x:v>Phòng khép kín</x:v>
      </x:c>
      <x:c r="G62" s="21" t="str">
        <x:v>7.8</x:v>
      </x:c>
      <x:c r="H62" s="21" t="str">
        <x:v>1.5</x:v>
      </x:c>
      <x:c r="I62" s="27" t="str">
        <x:v>2</x:v>
      </x:c>
      <x:c r="J62" s="15" t="str">
        <x:v>Xe buýt</x:v>
      </x:c>
    </x:row>
    <x:row r="63">
      <x:c r="A63" s="15" t="str">
        <x:v>Bùi Xuân Hùng</x:v>
      </x:c>
      <x:c r="B63" s="15" t="str">
        <x:v>Nam</x:v>
      </x:c>
      <x:c r="C63" s="15" t="str">
        <x:v>HS184517</x:v>
      </x:c>
      <x:c r="D63" s="15" t="str">
        <x:v>An toàn thông tin</x:v>
      </x:c>
      <x:c r="E63" s="15" t="str">
        <x:v>Tân Xã</x:v>
      </x:c>
      <x:c r="F63" s="15" t="str">
        <x:v>Phòng trọ cơ bản</x:v>
      </x:c>
      <x:c r="G63" s="21" t="str">
        <x:v>3.2</x:v>
      </x:c>
      <x:c r="H63" s="21" t="str">
        <x:v>2.2</x:v>
      </x:c>
      <x:c r="I63" s="27" t="str">
        <x:v>1</x:v>
      </x:c>
      <x:c r="J63" s="15" t="str">
        <x:v>Xe máy</x:v>
      </x:c>
    </x:row>
    <x:row r="64">
      <x:c r="A64" s="15" t="str">
        <x:v>Phùng Ngọc Khánh</x:v>
      </x:c>
      <x:c r="B64" s="15" t="str">
        <x:v>Nữ</x:v>
      </x:c>
      <x:c r="C64" s="15" t="str">
        <x:v>HE215550</x:v>
      </x:c>
      <x:c r="D64" s="15" t="str">
        <x:v>Công nghệ thông tin</x:v>
      </x:c>
      <x:c r="E64" s="15" t="str">
        <x:v>Tân Xã</x:v>
      </x:c>
      <x:c r="F64" s="15" t="str">
        <x:v>Phòng trọ cơ bản</x:v>
      </x:c>
      <x:c r="G64" s="21" t="str">
        <x:v>2.0</x:v>
      </x:c>
      <x:c r="H64" s="21" t="str">
        <x:v>1.6</x:v>
      </x:c>
      <x:c r="I64" s="27" t="str">
        <x:v>1</x:v>
      </x:c>
      <x:c r="J64" s="15" t="str">
        <x:v>Xe máy</x:v>
      </x:c>
    </x:row>
    <x:row r="65">
      <x:c r="A65" s="15" t="str">
        <x:v>Bùi Bích Khánh</x:v>
      </x:c>
      <x:c r="B65" s="15" t="str">
        <x:v>Nữ</x:v>
      </x:c>
      <x:c r="C65" s="15" t="str">
        <x:v>HS200572</x:v>
      </x:c>
      <x:c r="D65" s="15" t="str">
        <x:v>An toàn thông tin</x:v>
      </x:c>
      <x:c r="E65" s="15" t="str">
        <x:v>Hòa Lạc</x:v>
      </x:c>
      <x:c r="F65" s="15" t="str">
        <x:v>Phòng khép kín</x:v>
      </x:c>
      <x:c r="G65" s="21" t="str">
        <x:v>7.1</x:v>
      </x:c>
      <x:c r="H65" s="21" t="str">
        <x:v>1.4</x:v>
      </x:c>
      <x:c r="I65" s="27" t="str">
        <x:v>2</x:v>
      </x:c>
      <x:c r="J65" s="15" t="str">
        <x:v>Xe buýt</x:v>
      </x:c>
    </x:row>
    <x:row r="66">
      <x:c r="A66" s="15" t="str">
        <x:v>Huỳnh Công Đạt</x:v>
      </x:c>
      <x:c r="B66" s="15" t="str">
        <x:v>Nam</x:v>
      </x:c>
      <x:c r="C66" s="15" t="str">
        <x:v>HS192422</x:v>
      </x:c>
      <x:c r="D66" s="15" t="str">
        <x:v>An toàn thông tin</x:v>
      </x:c>
      <x:c r="E66" s="15" t="str">
        <x:v>Tân Xã</x:v>
      </x:c>
      <x:c r="F66" s="15" t="str">
        <x:v>Phòng trọ cơ bản</x:v>
      </x:c>
      <x:c r="G66" s="21" t="str">
        <x:v>4.1</x:v>
      </x:c>
      <x:c r="H66" s="21" t="str">
        <x:v>2.0</x:v>
      </x:c>
      <x:c r="I66" s="27" t="str">
        <x:v>2</x:v>
      </x:c>
      <x:c r="J66" s="15" t="str">
        <x:v>Xe máy</x:v>
      </x:c>
    </x:row>
    <x:row r="67">
      <x:c r="A67" s="15" t="str">
        <x:v>Lê Kim Trinh</x:v>
      </x:c>
      <x:c r="B67" s="15" t="str">
        <x:v>Nữ</x:v>
      </x:c>
      <x:c r="C67" s="15" t="str">
        <x:v>HA184959</x:v>
      </x:c>
      <x:c r="D67" s="15" t="str">
        <x:v>Quản trị kinh doanh</x:v>
      </x:c>
      <x:c r="E67" s="15" t="str">
        <x:v>Dom B</x:v>
      </x:c>
      <x:c r="F67" s="15" t="str">
        <x:v>Ký túc xá</x:v>
      </x:c>
      <x:c r="G67" s="21" t="str">
        <x:v>0.2</x:v>
      </x:c>
      <x:c r="H67" s="21" t="str">
        <x:v>1.1</x:v>
      </x:c>
      <x:c r="I67" s="27" t="str">
        <x:v>4</x:v>
      </x:c>
      <x:c r="J67" s="15" t="str">
        <x:v>Đi bộ</x:v>
      </x:c>
    </x:row>
    <x:row r="68">
      <x:c r="A68" s="15" t="str">
        <x:v>Hồ Khắc Bình</x:v>
      </x:c>
      <x:c r="B68" s="15" t="str">
        <x:v>Nam</x:v>
      </x:c>
      <x:c r="C68" s="15" t="str">
        <x:v>HC210076</x:v>
      </x:c>
      <x:c r="D68" s="15" t="str">
        <x:v>Thiết kế mỹ thuật số</x:v>
      </x:c>
      <x:c r="E68" s="15" t="str">
        <x:v>Thạch Hòa</x:v>
      </x:c>
      <x:c r="F68" s="15" t="str">
        <x:v>Phòng trọ cơ bản</x:v>
      </x:c>
      <x:c r="G68" s="21" t="str">
        <x:v>4.2</x:v>
      </x:c>
      <x:c r="H68" s="21" t="str">
        <x:v>1.8</x:v>
      </x:c>
      <x:c r="I68" s="27" t="str">
        <x:v>1</x:v>
      </x:c>
      <x:c r="J68" s="15" t="str">
        <x:v>Xe máy</x:v>
      </x:c>
    </x:row>
    <x:row r="69">
      <x:c r="A69" s="15" t="str">
        <x:v>Huỳnh Diệu Khánh</x:v>
      </x:c>
      <x:c r="B69" s="15" t="str">
        <x:v>Nữ</x:v>
      </x:c>
      <x:c r="C69" s="15" t="str">
        <x:v>HC198083</x:v>
      </x:c>
      <x:c r="D69" s="15" t="str">
        <x:v>Thiết kế mỹ thuật số</x:v>
      </x:c>
      <x:c r="E69" s="15" t="str">
        <x:v>Dom A</x:v>
      </x:c>
      <x:c r="F69" s="15" t="str">
        <x:v>Ký túc xá</x:v>
      </x:c>
      <x:c r="G69" s="21" t="str">
        <x:v>0.3</x:v>
      </x:c>
      <x:c r="H69" s="21" t="str">
        <x:v>1.1</x:v>
      </x:c>
      <x:c r="I69" s="27" t="str">
        <x:v>4</x:v>
      </x:c>
      <x:c r="J69" s="15" t="str">
        <x:v>Đi bộ</x:v>
      </x:c>
    </x:row>
    <x:row r="70">
      <x:c r="A70" s="15" t="str">
        <x:v>Ngô Thu Phương</x:v>
      </x:c>
      <x:c r="B70" s="15" t="str">
        <x:v>Nữ</x:v>
      </x:c>
      <x:c r="C70" s="15" t="str">
        <x:v>HS181943</x:v>
      </x:c>
      <x:c r="D70" s="15" t="str">
        <x:v>An toàn thông tin</x:v>
      </x:c>
      <x:c r="E70" s="15" t="str">
        <x:v>Hòa Lạc</x:v>
      </x:c>
      <x:c r="F70" s="15" t="str">
        <x:v>Phòng khép kín</x:v>
      </x:c>
      <x:c r="G70" s="21" t="str">
        <x:v>7.5</x:v>
      </x:c>
      <x:c r="H70" s="21" t="str">
        <x:v>1.5</x:v>
      </x:c>
      <x:c r="I70" s="27" t="str">
        <x:v>2</x:v>
      </x:c>
      <x:c r="J70" s="15" t="str">
        <x:v>Xe buýt</x:v>
      </x:c>
    </x:row>
    <x:row r="71">
      <x:c r="A71" s="15" t="str">
        <x:v>Phùng Văn Long</x:v>
      </x:c>
      <x:c r="B71" s="15" t="str">
        <x:v>Nam</x:v>
      </x:c>
      <x:c r="C71" s="15" t="str">
        <x:v>HS195403</x:v>
      </x:c>
      <x:c r="D71" s="15" t="str">
        <x:v>An toàn thông tin</x:v>
      </x:c>
      <x:c r="E71" s="15" t="str">
        <x:v>Tân Xã</x:v>
      </x:c>
      <x:c r="F71" s="15" t="str">
        <x:v>Phòng trọ cơ bản</x:v>
      </x:c>
      <x:c r="G71" s="21" t="str">
        <x:v>2.5</x:v>
      </x:c>
      <x:c r="H71" s="21" t="str">
        <x:v>2.3</x:v>
      </x:c>
      <x:c r="I71" s="27" t="str">
        <x:v>1</x:v>
      </x:c>
      <x:c r="J71" s="15" t="str">
        <x:v>Xe máy</x:v>
      </x:c>
    </x:row>
    <x:row r="72">
      <x:c r="A72" s="15" t="str">
        <x:v>Bùi Công An</x:v>
      </x:c>
      <x:c r="B72" s="15" t="str">
        <x:v>Nam</x:v>
      </x:c>
      <x:c r="C72" s="15" t="str">
        <x:v>HC183452</x:v>
      </x:c>
      <x:c r="D72" s="15" t="str">
        <x:v>Thiết kế mỹ thuật số</x:v>
      </x:c>
      <x:c r="E72" s="15" t="str">
        <x:v>Dom B</x:v>
      </x:c>
      <x:c r="F72" s="15" t="str">
        <x:v>Ký túc xá</x:v>
      </x:c>
      <x:c r="G72" s="21" t="str">
        <x:v>0.3</x:v>
      </x:c>
      <x:c r="H72" s="21" t="str">
        <x:v>1.1</x:v>
      </x:c>
      <x:c r="I72" s="27" t="str">
        <x:v>4</x:v>
      </x:c>
      <x:c r="J72" s="15" t="str">
        <x:v>Đi bộ</x:v>
      </x:c>
    </x:row>
    <x:row r="73">
      <x:c r="A73" s="15" t="str">
        <x:v>Trần Khắc Nam</x:v>
      </x:c>
      <x:c r="B73" s="15" t="str">
        <x:v>Nam</x:v>
      </x:c>
      <x:c r="C73" s="15" t="str">
        <x:v>HS199533</x:v>
      </x:c>
      <x:c r="D73" s="15" t="str">
        <x:v>An toàn thông tin</x:v>
      </x:c>
      <x:c r="E73" s="15" t="str">
        <x:v>Tân Xã</x:v>
      </x:c>
      <x:c r="F73" s="15" t="str">
        <x:v>Phòng trọ cơ bản</x:v>
      </x:c>
      <x:c r="G73" s="21" t="str">
        <x:v>2.3</x:v>
      </x:c>
      <x:c r="H73" s="21" t="str">
        <x:v>2.3</x:v>
      </x:c>
      <x:c r="I73" s="27" t="str">
        <x:v>2</x:v>
      </x:c>
      <x:c r="J73" s="15" t="str">
        <x:v>Xe máy</x:v>
      </x:c>
    </x:row>
    <x:row r="74">
      <x:c r="A74" s="15" t="str">
        <x:v>Vũ Hồng Bình</x:v>
      </x:c>
      <x:c r="B74" s="15" t="str">
        <x:v>Nữ</x:v>
      </x:c>
      <x:c r="C74" s="15" t="str">
        <x:v>HC213884</x:v>
      </x:c>
      <x:c r="D74" s="15" t="str">
        <x:v>Thiết kế mỹ thuật số</x:v>
      </x:c>
      <x:c r="E74" s="15" t="str">
        <x:v>Hòa Lạc</x:v>
      </x:c>
      <x:c r="F74" s="15" t="str">
        <x:v>Phòng khép kín</x:v>
      </x:c>
      <x:c r="G74" s="21" t="str">
        <x:v>6.8</x:v>
      </x:c>
      <x:c r="H74" s="21" t="str">
        <x:v>1.6</x:v>
      </x:c>
      <x:c r="I74" s="27" t="str">
        <x:v>1</x:v>
      </x:c>
      <x:c r="J74" s="15" t="str">
        <x:v>Xe buýt</x:v>
      </x:c>
    </x:row>
    <x:row r="75">
      <x:c r="A75" s="15" t="str">
        <x:v>Phan Thu Phương</x:v>
      </x:c>
      <x:c r="B75" s="15" t="str">
        <x:v>Nữ</x:v>
      </x:c>
      <x:c r="C75" s="15" t="str">
        <x:v>HE180117</x:v>
      </x:c>
      <x:c r="D75" s="15" t="str">
        <x:v>Công nghệ thông tin</x:v>
      </x:c>
      <x:c r="E75" s="15" t="str">
        <x:v>Hòa Lạc</x:v>
      </x:c>
      <x:c r="F75" s="15" t="str">
        <x:v>Phòng khép kín</x:v>
      </x:c>
      <x:c r="G75" s="21" t="str">
        <x:v>6.0</x:v>
      </x:c>
      <x:c r="H75" s="21" t="str">
        <x:v>1.9</x:v>
      </x:c>
      <x:c r="I75" s="27" t="str">
        <x:v>1</x:v>
      </x:c>
      <x:c r="J75" s="15" t="str">
        <x:v>Xe buýt</x:v>
      </x:c>
    </x:row>
    <x:row r="76">
      <x:c r="A76" s="15" t="str">
        <x:v>Đỗ Đức Tuấn</x:v>
      </x:c>
      <x:c r="B76" s="15" t="str">
        <x:v>Nam</x:v>
      </x:c>
      <x:c r="C76" s="15" t="str">
        <x:v>HC219113</x:v>
      </x:c>
      <x:c r="D76" s="15" t="str">
        <x:v>Thiết kế mỹ thuật số</x:v>
      </x:c>
      <x:c r="E76" s="15" t="str">
        <x:v>Hòa Lạc</x:v>
      </x:c>
      <x:c r="F76" s="15" t="str">
        <x:v>Phòng khép kín</x:v>
      </x:c>
      <x:c r="G76" s="21" t="str">
        <x:v>7.0</x:v>
      </x:c>
      <x:c r="H76" s="21" t="str">
        <x:v>1.5</x:v>
      </x:c>
      <x:c r="I76" s="27" t="str">
        <x:v>2</x:v>
      </x:c>
      <x:c r="J76" s="15" t="str">
        <x:v>Xe buýt</x:v>
      </x:c>
    </x:row>
    <x:row r="77">
      <x:c r="A77" s="16" t="str">
        <x:v>Huỳnh Kim Phương</x:v>
      </x:c>
      <x:c r="B77" s="16" t="str">
        <x:v>Nữ</x:v>
      </x:c>
      <x:c r="C77" s="16" t="str">
        <x:v>HE217841</x:v>
      </x:c>
      <x:c r="D77" s="16" t="str">
        <x:v>Công nghệ thông tin</x:v>
      </x:c>
      <x:c r="E77" s="16" t="str">
        <x:v>Dom A</x:v>
      </x:c>
      <x:c r="F77" s="16" t="str">
        <x:v>Ký túc xá</x:v>
      </x:c>
      <x:c r="G77" s="22" t="str">
        <x:v>0.2</x:v>
      </x:c>
      <x:c r="H77" s="22" t="str">
        <x:v>0.8</x:v>
      </x:c>
      <x:c r="I77" s="28" t="str">
        <x:v>6</x:v>
      </x:c>
      <x:c r="J77" s="16" t="str">
        <x:v>Đi bộ</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14" hidden="0" customWidth="1"/>
    <x:col min="4" max="4" width="29" hidden="0" customWidth="1"/>
    <x:col min="5" max="5" width="3" hidden="0" customWidth="1"/>
    <x:col min="6" max="6" width="6" hidden="0" customWidth="1"/>
    <x:col min="7" max="7" width="20" hidden="0" customWidth="1"/>
    <x:col min="8" max="8" width="20" hidden="0" customWidth="1"/>
    <x:col min="9" max="9" width="17" hidden="0" customWidth="1"/>
    <x:col min="10" max="10" width="3" hidden="0" customWidth="1"/>
    <x:col min="11" max="11" width="18" hidden="0" customWidth="1"/>
    <x:col min="12" max="12" width="12" hidden="0" customWidth="1"/>
    <x:col min="13" max="13" width="10" hidden="0" customWidth="1"/>
    <x:col min="14" max="14" width="10" hidden="0" customWidth="1"/>
  </x:cols>
  <x:sheetData>
    <x:row r="1" ht="34" customHeight="1">
      <x:c r="A1" s="88" t="str">
        <x:v>HỒI QUY GIÁ THUÊ TRỌ — DATA_CLEAN_SAMPLE.CSV</x:v>
      </x:c>
      <x:c r="B1" s="88" t="str">
        <x:v>HỒI QUY GIÁ THUÊ TRỌ — DATA_CLEAN_SAMPLE.CSV</x:v>
      </x:c>
      <x:c r="C1" s="88" t="str">
        <x:v>HỒI QUY GIÁ THUÊ TRỌ — DATA_CLEAN_SAMPLE.CSV</x:v>
      </x:c>
      <x:c r="D1" s="88" t="str">
        <x:v>HỒI QUY GIÁ THUÊ TRỌ — DATA_CLEAN_SAMPLE.CSV</x:v>
      </x:c>
      <x:c r="E1" s="88" t="str">
        <x:v>HỒI QUY GIÁ THUÊ TRỌ — DATA_CLEAN_SAMPLE.CSV</x:v>
      </x:c>
      <x:c r="F1" s="88" t="str">
        <x:v>HỒI QUY GIÁ THUÊ TRỌ — DATA_CLEAN_SAMPLE.CSV</x:v>
      </x:c>
      <x:c r="G1" s="88" t="str">
        <x:v>HỒI QUY GIÁ THUÊ TRỌ — DATA_CLEAN_SAMPLE.CSV</x:v>
      </x:c>
      <x:c r="H1" s="88" t="str">
        <x:v>HỒI QUY GIÁ THUÊ TRỌ — DATA_CLEAN_SAMPLE.CSV</x:v>
      </x:c>
      <x:c r="I1" s="88" t="str">
        <x:v>HỒI QUY GIÁ THUÊ TRỌ — DATA_CLEAN_SAMPLE.CSV</x:v>
      </x:c>
      <x:c r="J1" s="88" t="str">
        <x:v>HỒI QUY GIÁ THUÊ TRỌ — DATA_CLEAN_SAMPLE.CSV</x:v>
      </x:c>
      <x:c r="K1" s="88" t="str">
        <x:v>HỒI QUY GIÁ THUÊ TRỌ — DATA_CLEAN_SAMPLE.CSV</x:v>
      </x:c>
      <x:c r="L1" s="88" t="str">
        <x:v>HỒI QUY GIÁ THUÊ TRỌ — DATA_CLEAN_SAMPLE.CSV</x:v>
      </x:c>
      <x:c r="M1" s="88" t="str">
        <x:v>HỒI QUY GIÁ THUÊ TRỌ — DATA_CLEAN_SAMPLE.CSV</x:v>
      </x:c>
      <x:c r="N1" s="88" t="str">
        <x:v>HỒI QUY GIÁ THUÊ TRỌ — DATA_CLEAN_SAMPLE.CSV</x:v>
      </x:c>
    </x:row>
    <x:row r="2">
      <x:c r="A2" s="246" t="str">
        <x:v>X = khoảng cách tới trường (km) • Y = giá thuê (triệu VNĐ/tháng) • Phương pháp OLS</x:v>
      </x:c>
      <x:c r="B2" s="246" t="str">
        <x:v>X = khoảng cách tới trường (km) • Y = giá thuê (triệu VNĐ/tháng) • Phương pháp OLS</x:v>
      </x:c>
      <x:c r="C2" s="246" t="str">
        <x:v>X = khoảng cách tới trường (km) • Y = giá thuê (triệu VNĐ/tháng) • Phương pháp OLS</x:v>
      </x:c>
      <x:c r="D2" s="246" t="str">
        <x:v>X = khoảng cách tới trường (km) • Y = giá thuê (triệu VNĐ/tháng) • Phương pháp OLS</x:v>
      </x:c>
      <x:c r="E2" s="246" t="str">
        <x:v>X = khoảng cách tới trường (km) • Y = giá thuê (triệu VNĐ/tháng) • Phương pháp OLS</x:v>
      </x:c>
      <x:c r="F2" s="246" t="str">
        <x:v>X = khoảng cách tới trường (km) • Y = giá thuê (triệu VNĐ/tháng) • Phương pháp OLS</x:v>
      </x:c>
      <x:c r="G2" s="246" t="str">
        <x:v>X = khoảng cách tới trường (km) • Y = giá thuê (triệu VNĐ/tháng) • Phương pháp OLS</x:v>
      </x:c>
      <x:c r="H2" s="246" t="str">
        <x:v>X = khoảng cách tới trường (km) • Y = giá thuê (triệu VNĐ/tháng) • Phương pháp OLS</x:v>
      </x:c>
      <x:c r="I2" s="246" t="str">
        <x:v>X = khoảng cách tới trường (km) • Y = giá thuê (triệu VNĐ/tháng) • Phương pháp OLS</x:v>
      </x:c>
      <x:c r="J2" s="246" t="str">
        <x:v>X = khoảng cách tới trường (km) • Y = giá thuê (triệu VNĐ/tháng) • Phương pháp OLS</x:v>
      </x:c>
      <x:c r="K2" s="246" t="str">
        <x:v>X = khoảng cách tới trường (km) • Y = giá thuê (triệu VNĐ/tháng) • Phương pháp OLS</x:v>
      </x:c>
      <x:c r="L2" s="246" t="str">
        <x:v>X = khoảng cách tới trường (km) • Y = giá thuê (triệu VNĐ/tháng) • Phương pháp OLS</x:v>
      </x:c>
      <x:c r="M2" s="246" t="str">
        <x:v>X = khoảng cách tới trường (km) • Y = giá thuê (triệu VNĐ/tháng) • Phương pháp OLS</x:v>
      </x:c>
      <x:c r="N2" s="246" t="str">
        <x:v>X = khoảng cách tới trường (km) • Y = giá thuê (triệu VNĐ/tháng) • Phương pháp OLS</x:v>
      </x:c>
    </x:row>
    <x:row r="4" ht="24" customHeight="1">
      <x:c r="A4" s="90" t="str">
        <x:v>Dữ liệu và phạm vi</x:v>
      </x:c>
      <x:c r="B4" s="90" t="str">
        <x:v>Dữ liệu và phạm vi</x:v>
      </x:c>
      <x:c r="C4" s="90" t="str">
        <x:v>Dữ liệu và phạm vi</x:v>
      </x:c>
      <x:c r="D4" s="90" t="str">
        <x:v>Dữ liệu và phạm vi</x:v>
      </x:c>
    </x:row>
    <x:row r="5">
      <x:c r="A5" s="264" t="str">
        <x:v>Tổng mẫu sạch</x:v>
      </x:c>
      <x:c r="B5" s="249" t="n">
        <x:v>76</x:v>
      </x:c>
      <x:c r="C5" s="249" t="str">
        <x:v>dòng</x:v>
      </x:c>
      <x:c r="D5" s="250" t="str"/>
    </x:row>
    <x:row r="6">
      <x:c r="A6" s="265" t="str">
        <x:v>KTX mô tả</x:v>
      </x:c>
      <x:c r="B6" s="92" t="n">
        <x:v>17</x:v>
      </x:c>
      <x:c r="C6" s="92" t="str">
        <x:v>dòng</x:v>
      </x:c>
      <x:c r="D6" s="252" t="str"/>
    </x:row>
    <x:row r="7">
      <x:c r="A7" s="265" t="str">
        <x:v>Trọ ngoài hồi quy</x:v>
      </x:c>
      <x:c r="B7" s="92" t="n">
        <x:v>59</x:v>
      </x:c>
      <x:c r="C7" s="92" t="str">
        <x:v>dòng</x:v>
      </x:c>
      <x:c r="D7" s="252" t="str"/>
    </x:row>
    <x:row r="8">
      <x:c r="A8" s="265" t="str">
        <x:v>Thiếu/trùng</x:v>
      </x:c>
      <x:c r="B8" s="92" t="n">
        <x:v>0</x:v>
      </x:c>
      <x:c r="C8" s="92" t="str">
        <x:v>dòng</x:v>
      </x:c>
      <x:c r="D8" s="252" t="str"/>
    </x:row>
    <x:row r="9">
      <x:c r="A9" s="266" t="str">
        <x:v>Biến mô hình</x:v>
      </x:c>
      <x:c r="B9" s="254" t="str">
        <x:v>X → Y</x:v>
      </x:c>
      <x:c r="C9" s="254" t="str"/>
      <x:c r="D9" s="255" t="str"/>
    </x:row>
    <x:row r="11" ht="24" customHeight="1">
      <x:c r="A11" s="90" t="str">
        <x:v>Kết quả chính</x:v>
      </x:c>
      <x:c r="B11" s="90" t="str">
        <x:v>Kết quả chính</x:v>
      </x:c>
      <x:c r="C11" s="90" t="str">
        <x:v>Kết quả chính</x:v>
      </x:c>
      <x:c r="D11" s="90" t="str">
        <x:v>Kết quả chính</x:v>
      </x:c>
    </x:row>
    <x:row r="12">
      <x:c r="A12" s="42" t="str">
        <x:v>Chỉ số</x:v>
      </x:c>
      <x:c r="B12" s="42" t="str">
        <x:v>Giá trị</x:v>
      </x:c>
      <x:c r="C12" s="42" t="str">
        <x:v>Đơn vị</x:v>
      </x:c>
      <x:c r="D12" s="42" t="str">
        <x:v>Cách đọc</x:v>
      </x:c>
    </x:row>
    <x:row r="13">
      <x:c r="A13" s="66" t="str">
        <x:v>β̂0</x:v>
      </x:c>
      <x:c r="B13" s="282" t="n">
        <x:v>2.631250750848675</x:v>
      </x:c>
      <x:c r="C13" s="66" t="str">
        <x:v>triệu</x:v>
      </x:c>
      <x:c r="D13" s="66" t="str">
        <x:v>Điểm chặn</x:v>
      </x:c>
    </x:row>
    <x:row r="14">
      <x:c r="A14" s="69" t="str">
        <x:v>β̂1</x:v>
      </x:c>
      <x:c r="B14" s="283" t="n">
        <x:v>-0.14565005474759476</x:v>
      </x:c>
      <x:c r="C14" s="69" t="str">
        <x:v>triệu/km</x:v>
      </x:c>
      <x:c r="D14" s="69" t="str">
        <x:v>Xa thêm 1 km</x:v>
      </x:c>
    </x:row>
    <x:row r="15">
      <x:c r="A15" s="69" t="str">
        <x:v>R²</x:v>
      </x:c>
      <x:c r="B15" s="284" t="n">
        <x:v>0.4579774127912837</x:v>
      </x:c>
      <x:c r="C15" s="69" t="str"/>
      <x:c r="D15" s="69" t="str">
        <x:v>Tỷ lệ biến thiên được giải thích</x:v>
      </x:c>
    </x:row>
    <x:row r="16">
      <x:c r="A16" s="72" t="str">
        <x:v>p-value</x:v>
      </x:c>
      <x:c r="B16" s="285" t="n">
        <x:v>4.007236786152316e-9</x:v>
      </x:c>
      <x:c r="C16" s="72" t="str"/>
      <x:c r="D16" s="72" t="str">
        <x:v>Kiểm định β1=0</x:v>
      </x:c>
    </x:row>
    <x:row r="18">
      <x:c r="A18" s="294" t="str">
        <x:v>Ŷ = 2.631 − 0.146X</x:v>
      </x:c>
      <x:c r="B18" s="294" t="str">
        <x:v>Ŷ = 2.631 − 0.146X</x:v>
      </x:c>
      <x:c r="C18" s="294" t="str">
        <x:v>Ŷ = 2.631 − 0.146X</x:v>
      </x:c>
      <x:c r="D18" s="294" t="str">
        <x:v>Ŷ = 2.631 − 0.146X</x:v>
      </x:c>
    </x:row>
    <x:row r="19">
      <x:c r="A19" s="294" t="str">
        <x:v>Ŷ = 2.631 − 0.146X</x:v>
      </x:c>
      <x:c r="B19" s="294" t="str">
        <x:v>Ŷ = 2.631 − 0.146X</x:v>
      </x:c>
      <x:c r="C19" s="294" t="str">
        <x:v>Ŷ = 2.631 − 0.146X</x:v>
      </x:c>
      <x:c r="D19" s="294" t="str">
        <x:v>Ŷ = 2.631 − 0.146X</x:v>
      </x:c>
    </x:row>
    <x:row r="20">
      <x:c r="A20" s="294" t="str">
        <x:v>Ŷ = 2.631 − 0.146X</x:v>
      </x:c>
      <x:c r="B20" s="294" t="str">
        <x:v>Ŷ = 2.631 − 0.146X</x:v>
      </x:c>
      <x:c r="C20" s="294" t="str">
        <x:v>Ŷ = 2.631 − 0.146X</x:v>
      </x:c>
      <x:c r="D20" s="294" t="str">
        <x:v>Ŷ = 2.631 − 0.146X</x:v>
      </x:c>
    </x:row>
    <x:row r="22">
      <x:c r="A22" s="314"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B22" s="315"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C22" s="315"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D22" s="316"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row>
    <x:row r="23">
      <x:c r="A23" s="317"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B23" s="318"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C23" s="318"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D23" s="319"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row>
    <x:row r="24">
      <x:c r="A24" s="317"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B24" s="318"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C24" s="318"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D24" s="319"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row>
    <x:row r="25" ht="24" customHeight="1">
      <x:c r="A25" s="317"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B25" s="318"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C25" s="318"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D25" s="319"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F25" s="90" t="str">
        <x:v>Thứ tự mở sheet khi trình bày</x:v>
      </x:c>
      <x:c r="G25" s="90" t="str">
        <x:v>Thứ tự mở sheet khi trình bày</x:v>
      </x:c>
      <x:c r="H25" s="90" t="str">
        <x:v>Thứ tự mở sheet khi trình bày</x:v>
      </x:c>
      <x:c r="I25" s="90" t="str">
        <x:v>Thứ tự mở sheet khi trình bày</x:v>
      </x:c>
      <x:c r="J25" s="90" t="str">
        <x:v>Thứ tự mở sheet khi trình bày</x:v>
      </x:c>
      <x:c r="K25" s="90" t="str">
        <x:v>Thứ tự mở sheet khi trình bày</x:v>
      </x:c>
      <x:c r="L25" s="90" t="str">
        <x:v>Thứ tự mở sheet khi trình bày</x:v>
      </x:c>
      <x:c r="M25" s="90" t="str">
        <x:v>Thứ tự mở sheet khi trình bày</x:v>
      </x:c>
      <x:c r="N25" s="90" t="str">
        <x:v>Thứ tự mở sheet khi trình bày</x:v>
      </x:c>
    </x:row>
    <x:row r="26">
      <x:c r="A26" s="317"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B26" s="318"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C26" s="318"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D26" s="319"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F26" s="336" t="str">
        <x:v>1</x:v>
      </x:c>
      <x:c r="G26" s="337" t="str">
        <x:v>HuongDan</x:v>
      </x:c>
      <x:c r="H26" s="338" t="str">
        <x:v>Tóm tắt dữ liệu, phương trình, kết luận</x:v>
      </x:c>
      <x:c r="I26" s="338" t="str"/>
      <x:c r="J26" s="338" t="str"/>
      <x:c r="K26" s="338" t="str"/>
      <x:c r="L26" s="338" t="str"/>
      <x:c r="M26" s="338" t="str"/>
      <x:c r="N26" s="338" t="str"/>
    </x:row>
    <x:row r="27">
      <x:c r="A27" s="320"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B27" s="321"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C27" s="321"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D27" s="322" t="str">
        <x:v>KẾT LUẬN
Trong mẫu trọ ngoài KTX, xa thêm 1 km gắn với mức giảm trung bình khoảng 146 nghìn đồng/tháng.
R² = 45.80% và p-value rất nhỏ: hệ số âm có ý nghĩa thống kê.
Kết quả cho thấy mối liên hệ, chưa đủ để khẳng định nhân quả.</x:v>
      </x:c>
      <x:c r="F27" s="339" t="str">
        <x:v>2</x:v>
      </x:c>
      <x:c r="G27" s="340" t="str">
        <x:v>KiemTraDuLieu</x:v>
      </x:c>
      <x:c r="H27" s="341" t="str">
        <x:v>Chứng minh file sạch và nêu quy tắc xử lý</x:v>
      </x:c>
      <x:c r="I27" s="341" t="str"/>
      <x:c r="J27" s="341" t="str"/>
      <x:c r="K27" s="341" t="str"/>
      <x:c r="L27" s="341" t="str"/>
      <x:c r="M27" s="341" t="str"/>
      <x:c r="N27" s="341" t="str"/>
    </x:row>
    <x:row r="28">
      <x:c r="F28" s="339" t="str">
        <x:v>3</x:v>
      </x:c>
      <x:c r="G28" s="340" t="str">
        <x:v>ThongKeMoTa</x:v>
      </x:c>
      <x:c r="H28" s="341" t="str">
        <x:v>Mô tả dữ liệu và khác biệt KTX/trọ ngoài</x:v>
      </x:c>
      <x:c r="I28" s="341" t="str"/>
      <x:c r="J28" s="341" t="str"/>
      <x:c r="K28" s="341" t="str"/>
      <x:c r="L28" s="341" t="str"/>
      <x:c r="M28" s="341" t="str"/>
      <x:c r="N28" s="341" t="str"/>
    </x:row>
    <x:row r="29">
      <x:c r="F29" s="339" t="str">
        <x:v>4</x:v>
      </x:c>
      <x:c r="G29" s="340" t="str">
        <x:v>SoSanhKTX</x:v>
      </x:c>
      <x:c r="H29" s="341" t="str">
        <x:v>Giải thích quyết định chọn 59 trọ ngoài</x:v>
      </x:c>
      <x:c r="I29" s="341" t="str"/>
      <x:c r="J29" s="341" t="str"/>
      <x:c r="K29" s="341" t="str"/>
      <x:c r="L29" s="341" t="str"/>
      <x:c r="M29" s="341" t="str"/>
      <x:c r="N29" s="341" t="str"/>
    </x:row>
    <x:row r="30">
      <x:c r="F30" s="339" t="str">
        <x:v>5</x:v>
      </x:c>
      <x:c r="G30" s="340" t="str">
        <x:v>UocLuongOLS</x:v>
      </x:c>
      <x:c r="H30" s="341" t="str">
        <x:v>Tính β̂1, β̂0, SSE, s², SE</x:v>
      </x:c>
      <x:c r="I30" s="341" t="str"/>
      <x:c r="J30" s="341" t="str"/>
      <x:c r="K30" s="341" t="str"/>
      <x:c r="L30" s="341" t="str"/>
      <x:c r="M30" s="341" t="str"/>
      <x:c r="N30" s="341" t="str"/>
    </x:row>
    <x:row r="31">
      <x:c r="F31" s="339" t="str">
        <x:v>6</x:v>
      </x:c>
      <x:c r="G31" s="340" t="str">
        <x:v>MauHoiQuy</x:v>
      </x:c>
      <x:c r="H31" s="341" t="str">
        <x:v>Bấm vào ô để xem công thức sống</x:v>
      </x:c>
      <x:c r="I31" s="341" t="str"/>
      <x:c r="J31" s="341" t="str"/>
      <x:c r="K31" s="341" t="str"/>
      <x:c r="L31" s="341" t="str"/>
      <x:c r="M31" s="341" t="str"/>
      <x:c r="N31" s="341" t="str"/>
    </x:row>
    <x:row r="32">
      <x:c r="F32" s="339" t="str">
        <x:v>7</x:v>
      </x:c>
      <x:c r="G32" s="340" t="str">
        <x:v>KiemDinhDuBao</x:v>
      </x:c>
      <x:c r="H32" s="341" t="str">
        <x:v>Kiểm định, CI và thay X0 dự báo</x:v>
      </x:c>
      <x:c r="I32" s="341" t="str"/>
      <x:c r="J32" s="341" t="str"/>
      <x:c r="K32" s="341" t="str"/>
      <x:c r="L32" s="341" t="str"/>
      <x:c r="M32" s="341" t="str"/>
      <x:c r="N32" s="341" t="str"/>
    </x:row>
    <x:row r="33">
      <x:c r="F33" s="339" t="str">
        <x:v>8</x:v>
      </x:c>
      <x:c r="G33" s="340" t="str">
        <x:v>KichBanNhom</x:v>
      </x:c>
      <x:c r="H33" s="341" t="str">
        <x:v>Phân công và câu hỏi thầy có thể hỏi</x:v>
      </x:c>
      <x:c r="I33" s="341" t="str"/>
      <x:c r="J33" s="341" t="str"/>
      <x:c r="K33" s="341" t="str"/>
      <x:c r="L33" s="341" t="str"/>
      <x:c r="M33" s="341" t="str"/>
      <x:c r="N33" s="341" t="str"/>
    </x:row>
    <x:row r="34">
      <x:c r="F34" s="342" t="str">
        <x:v>9</x:v>
      </x:c>
      <x:c r="G34" s="343" t="str">
        <x:v>DuLieuMau</x:v>
      </x:c>
      <x:c r="H34" s="344" t="str">
        <x:v>Đối chiếu dữ liệu gốc của bài</x:v>
      </x:c>
      <x:c r="I34" s="344" t="str"/>
      <x:c r="J34" s="344" t="str"/>
      <x:c r="K34" s="344" t="str"/>
      <x:c r="L34" s="344" t="str"/>
      <x:c r="M34" s="344" t="str"/>
      <x:c r="N34" s="344" t="str"/>
    </x:row>
  </x:sheetData>
  <x:mergeCells>
    <x:mergeCell ref="A1:N1"/>
    <x:mergeCell ref="A2:N2"/>
    <x:mergeCell ref="A4:D4"/>
    <x:mergeCell ref="A11:D11"/>
    <x:mergeCell ref="A18:D20"/>
    <x:mergeCell ref="A22:D27"/>
    <x:mergeCell ref="F25:N25"/>
  </x:mergeCells>
  <x:pageMargins left="0.7" right="0.7" top="0.75" bottom="0.75" header="0.3" footer="0.3"/>
  <x:drawing xmlns:r="http://schemas.openxmlformats.org/officeDocument/2006/relationships" r:id="Raae4b017ed0e46a6"/>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6" hidden="0" customWidth="1"/>
    <x:col min="3" max="3" width="30" hidden="0" customWidth="1"/>
    <x:col min="4" max="4" width="30" hidden="0" customWidth="1"/>
    <x:col min="5" max="5" width="27" hidden="0" customWidth="1"/>
    <x:col min="6" max="6" width="16" hidden="0" customWidth="1"/>
  </x:cols>
  <x:sheetData>
    <x:row r="1" ht="34" customHeight="1">
      <x:c r="A1" s="88" t="str">
        <x:v>KIỂM TRA DATA_CLEAN_SAMPLE.CSV</x:v>
      </x:c>
      <x:c r="B1" s="88" t="str">
        <x:v>KIỂM TRA DATA_CLEAN_SAMPLE.CSV</x:v>
      </x:c>
      <x:c r="C1" s="88" t="str">
        <x:v>KIỂM TRA DATA_CLEAN_SAMPLE.CSV</x:v>
      </x:c>
      <x:c r="D1" s="88" t="str">
        <x:v>KIỂM TRA DATA_CLEAN_SAMPLE.CSV</x:v>
      </x:c>
      <x:c r="E1" s="88" t="str">
        <x:v>KIỂM TRA DATA_CLEAN_SAMPLE.CSV</x:v>
      </x:c>
      <x:c r="F1" s="88" t="str">
        <x:v>KIỂM TRA DATA_CLEAN_SAMPLE.CSV</x:v>
      </x:c>
    </x:row>
    <x:row r="3" ht="24" customHeight="1">
      <x:c r="A3" s="90" t="str">
        <x:v>Kết quả kiểm tra chất lượng dữ liệu</x:v>
      </x:c>
      <x:c r="B3" s="90" t="str">
        <x:v>Kết quả kiểm tra chất lượng dữ liệu</x:v>
      </x:c>
      <x:c r="C3" s="90" t="str">
        <x:v>Kết quả kiểm tra chất lượng dữ liệu</x:v>
      </x:c>
      <x:c r="D3" s="90" t="str">
        <x:v>Kết quả kiểm tra chất lượng dữ liệu</x:v>
      </x:c>
      <x:c r="E3" s="90" t="str">
        <x:v>Kết quả kiểm tra chất lượng dữ liệu</x:v>
      </x:c>
      <x:c r="F3" s="90" t="str">
        <x:v>Kết quả kiểm tra chất lượng dữ liệu</x:v>
      </x:c>
    </x:row>
    <x:row r="4">
      <x:c r="A4" s="42" t="str">
        <x:v>Tiêu chí</x:v>
      </x:c>
      <x:c r="B4" s="42" t="str">
        <x:v>Kết quả</x:v>
      </x:c>
      <x:c r="C4" s="42" t="str">
        <x:v>Công thức kiểm tra</x:v>
      </x:c>
      <x:c r="D4" s="42" t="str">
        <x:v>Kết luận</x:v>
      </x:c>
    </x:row>
    <x:row r="5">
      <x:c r="A5" s="66" t="str">
        <x:v>Số quan sát</x:v>
      </x:c>
      <x:c r="B5" s="66" t="n">
        <x:f>COUNTA('DuLieuMau'!$C$2:$C$77)</x:f>
        <x:v>76</x:v>
      </x:c>
      <x:c r="C5" s="66" t="str">
        <x:v>=COUNTA(Ma_SV)</x:v>
      </x:c>
      <x:c r="D5" s="66" t="str">
        <x:v>76 dòng</x:v>
      </x:c>
    </x:row>
    <x:row r="6">
      <x:c r="A6" s="69" t="str">
        <x:v>Ô trống bắt buộc</x:v>
      </x:c>
      <x:c r="B6" s="69" t="n">
        <x:f>B5-COUNTA('DuLieuMau'!$A$2:$A$77)</x:f>
        <x:v>0</x:v>
      </x:c>
      <x:c r="C6" s="69" t="str">
        <x:v>=N−COUNTA(cột)</x:v>
      </x:c>
      <x:c r="D6" s="69" t="str">
        <x:v>Không có</x:v>
      </x:c>
    </x:row>
    <x:row r="7">
      <x:c r="A7" s="69" t="str">
        <x:v>Mã SV trùng</x:v>
      </x:c>
      <x:c r="B7" s="69" t="n">
        <x:v>0</x:v>
      </x:c>
      <x:c r="C7" s="69" t="str">
        <x:v>=SUM(COUNTIF(MaSV,MaSV)&gt;1)</x:v>
      </x:c>
      <x:c r="D7" s="69" t="str">
        <x:v>Không có</x:v>
      </x:c>
    </x:row>
    <x:row r="8">
      <x:c r="A8" s="69" t="str">
        <x:v>Khoảng cách ngoài (0;15]</x:v>
      </x:c>
      <x:c r="B8" s="69" t="n">
        <x:f>COUNTIF('DuLieuMau'!$G$2:$G$77,"&lt;=0")+COUNTIF('DuLieuMau'!$G$2:$G$77,"&gt;15")</x:f>
        <x:v>0</x:v>
      </x:c>
      <x:c r="C8" s="69" t="str">
        <x:v>=COUNTIF(X,"&lt;=0")+COUNTIF(X,"&gt;15")</x:v>
      </x:c>
      <x:c r="D8" s="69" t="str">
        <x:v>Không có</x:v>
      </x:c>
    </x:row>
    <x:row r="9">
      <x:c r="A9" s="69" t="str">
        <x:v>Giá thuê ngoài (0;4]</x:v>
      </x:c>
      <x:c r="B9" s="69" t="n">
        <x:f>COUNTIF('DuLieuMau'!$H$2:$H$77,"&lt;=0")+COUNTIF('DuLieuMau'!$H$2:$H$77,"&gt;4")</x:f>
        <x:v>0</x:v>
      </x:c>
      <x:c r="C9" s="69" t="str">
        <x:v>=COUNTIF(Y,"&lt;=0")+COUNTIF(Y,"&gt;4")</x:v>
      </x:c>
      <x:c r="D9" s="69" t="str">
        <x:v>Không có</x:v>
      </x:c>
    </x:row>
    <x:row r="10">
      <x:c r="A10" s="69" t="str">
        <x:v>Số người ngoài [1;6]</x:v>
      </x:c>
      <x:c r="B10" s="69" t="n">
        <x:f>COUNTIF('DuLieuMau'!$I$2:$I$77,"&lt;1")+COUNTIF('DuLieuMau'!$I$2:$I$77,"&gt;6")</x:f>
        <x:v>0</x:v>
      </x:c>
      <x:c r="C10" s="69" t="str">
        <x:v>=COUNTIF(Nguoi,"&lt;1")+COUNTIF(Nguoi,"&gt;6")</x:v>
      </x:c>
      <x:c r="D10" s="69" t="str">
        <x:v>Không có</x:v>
      </x:c>
    </x:row>
    <x:row r="11">
      <x:c r="A11" s="126" t="str">
        <x:v>Kết quả</x:v>
      </x:c>
      <x:c r="B11" s="126" t="str">
        <x:f>IF(SUM(B6:B10)=0,"ĐẠT","CẦN XỬ LÝ")</x:f>
        <x:v>ĐẠT</x:v>
      </x:c>
      <x:c r="C11" s="126" t="str">
        <x:v>Tất cả điều kiện bằng 0</x:v>
      </x:c>
      <x:c r="D11" s="126" t="str">
        <x:v>Đủ điều kiện phân tích</x:v>
      </x:c>
    </x:row>
    <x:row r="13" ht="24" customHeight="1">
      <x:c r="A13" s="90" t="str">
        <x:v>Quy tắc nhóm đã áp dụng trước khi có file sạch</x:v>
      </x:c>
      <x:c r="B13" s="90" t="str">
        <x:v>Quy tắc nhóm đã áp dụng trước khi có file sạch</x:v>
      </x:c>
      <x:c r="C13" s="90" t="str">
        <x:v>Quy tắc nhóm đã áp dụng trước khi có file sạch</x:v>
      </x:c>
      <x:c r="D13" s="90" t="str">
        <x:v>Quy tắc nhóm đã áp dụng trước khi có file sạch</x:v>
      </x:c>
      <x:c r="E13" s="90" t="str">
        <x:v>Quy tắc nhóm đã áp dụng trước khi có file sạch</x:v>
      </x:c>
      <x:c r="F13" s="90" t="str">
        <x:v>Quy tắc nhóm đã áp dụng trước khi có file sạch</x:v>
      </x:c>
    </x:row>
    <x:row r="14">
      <x:c r="A14" s="42" t="str">
        <x:v>Nhóm lỗi</x:v>
      </x:c>
      <x:c r="B14" s="42" t="str">
        <x:v>Ví dụ</x:v>
      </x:c>
      <x:c r="C14" s="42" t="str">
        <x:v>Xử lý</x:v>
      </x:c>
      <x:c r="D14" s="42" t="str">
        <x:v>Lý do</x:v>
      </x:c>
      <x:c r="E14" s="42" t="str">
        <x:v>Chuẩn</x:v>
      </x:c>
      <x:c r="F14" s="42" t="str">
        <x:v>Kết quả</x:v>
      </x:c>
    </x:row>
    <x:row r="15">
      <x:c r="A15" s="110" t="str">
        <x:v>Định dạng số</x:v>
      </x:c>
      <x:c r="B15" s="110" t="str">
        <x:v>2,5; 2.5km; 3tr</x:v>
      </x:c>
      <x:c r="C15" s="110" t="str">
        <x:v>Chuẩn hóa</x:v>
      </x:c>
      <x:c r="D15" s="110" t="str">
        <x:v>Suy ra chắc chắn</x:v>
      </x:c>
      <x:c r="E15" s="110" t="str">
        <x:v>Số thực</x:v>
      </x:c>
      <x:c r="F15" s="110" t="str">
        <x:v>Giữ</x:v>
      </x:c>
    </x:row>
    <x:row r="16">
      <x:c r="A16" s="111" t="str">
        <x:v>Khoảng trắng/hoa thường</x:v>
      </x:c>
      <x:c r="B16" s="111" t="str">
        <x:v> xe máy ; NAM</x:v>
      </x:c>
      <x:c r="C16" s="111" t="str">
        <x:v>Chuẩn hóa danh mục</x:v>
      </x:c>
      <x:c r="D16" s="111" t="str">
        <x:v>Không mất thông tin</x:v>
      </x:c>
      <x:c r="E16" s="111" t="str">
        <x:v>Danh mục chuẩn</x:v>
      </x:c>
      <x:c r="F16" s="111" t="str">
        <x:v>Giữ</x:v>
      </x:c>
    </x:row>
    <x:row r="17">
      <x:c r="A17" s="111" t="str">
        <x:v>Mã sinh viên</x:v>
      </x:c>
      <x:c r="B17" s="111" t="str">
        <x:v>HE-185306</x:v>
      </x:c>
      <x:c r="C17" s="111" t="str">
        <x:v>Bỏ ký tự thừa nếu còn đúng cấu trúc</x:v>
      </x:c>
      <x:c r="D17" s="111" t="str">
        <x:v>Khôi phục chắc chắn</x:v>
      </x:c>
      <x:c r="E17" s="111" t="str">
        <x:v>2 chữ + 6 số</x:v>
      </x:c>
      <x:c r="F17" s="111" t="str">
        <x:v>Giữ</x:v>
      </x:c>
    </x:row>
    <x:row r="18">
      <x:c r="A18" s="111" t="str">
        <x:v>Thiếu dữ liệu</x:v>
      </x:c>
      <x:c r="B18" s="111" t="str">
        <x:v>Trống trường bắt buộc</x:v>
      </x:c>
      <x:c r="C18" s="111" t="str">
        <x:v>Loại dòng</x:v>
      </x:c>
      <x:c r="D18" s="111" t="str">
        <x:v>Không tự bịa giá trị</x:v>
      </x:c>
      <x:c r="E18" s="111" t="str">
        <x:v>Không rỗng</x:v>
      </x:c>
      <x:c r="F18" s="111" t="str">
        <x:v>Loại</x:v>
      </x:c>
    </x:row>
    <x:row r="19">
      <x:c r="A19" s="111" t="str">
        <x:v>Giá trị phi lý</x:v>
      </x:c>
      <x:c r="B19" s="111" t="str">
        <x:v>X âm; Y=0</x:v>
      </x:c>
      <x:c r="C19" s="111" t="str">
        <x:v>Loại dòng</x:v>
      </x:c>
      <x:c r="D19" s="111" t="str">
        <x:v>Ngoài phạm vi khảo sát</x:v>
      </x:c>
      <x:c r="E19" s="111" t="str">
        <x:v>0&lt;X≤15; 0&lt;Y≤4</x:v>
      </x:c>
      <x:c r="F19" s="111" t="str">
        <x:v>Loại</x:v>
      </x:c>
    </x:row>
    <x:row r="20">
      <x:c r="A20" s="112" t="str">
        <x:v>Trùng Ma_SV</x:v>
      </x:c>
      <x:c r="B20" s="112" t="str">
        <x:v>Hai phản hồi cùng mã</x:v>
      </x:c>
      <x:c r="C20" s="112" t="str">
        <x:v>Giữ một dòng</x:v>
      </x:c>
      <x:c r="D20" s="112" t="str">
        <x:v>Tránh đếm lặp</x:v>
      </x:c>
      <x:c r="E20" s="112" t="str">
        <x:v>Ma_SV duy nhất</x:v>
      </x:c>
      <x:c r="F20" s="112" t="str">
        <x:v>Loại trùng</x:v>
      </x:c>
    </x:row>
  </x:sheetData>
  <x:mergeCells>
    <x:mergeCell ref="A1:F1"/>
    <x:mergeCell ref="A3:F3"/>
    <x:mergeCell ref="A13:F1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15" hidden="0" customWidth="1"/>
    <x:col min="3" max="3" width="17" hidden="0" customWidth="1"/>
    <x:col min="4" max="4" width="15" hidden="0" customWidth="1"/>
    <x:col min="5" max="5" width="20" hidden="0" customWidth="1"/>
    <x:col min="6" max="6" width="11" hidden="0" customWidth="1"/>
    <x:col min="7" max="7" width="18" hidden="0" customWidth="1"/>
    <x:col min="8" max="8" width="15" hidden="0" customWidth="1"/>
    <x:col min="9" max="9" width="3" hidden="0" customWidth="1"/>
  </x:cols>
  <x:sheetData>
    <x:row r="1" ht="34" customHeight="1">
      <x:c r="A1" s="88" t="str">
        <x:v>THỐNG KÊ MÔ TẢ VÀ PHÂN TÍCH NHÓM</x:v>
      </x:c>
      <x:c r="B1" s="88" t="str">
        <x:v>THỐNG KÊ MÔ TẢ VÀ PHÂN TÍCH NHÓM</x:v>
      </x:c>
      <x:c r="C1" s="88" t="str">
        <x:v>THỐNG KÊ MÔ TẢ VÀ PHÂN TÍCH NHÓM</x:v>
      </x:c>
      <x:c r="D1" s="88" t="str">
        <x:v>THỐNG KÊ MÔ TẢ VÀ PHÂN TÍCH NHÓM</x:v>
      </x:c>
      <x:c r="E1" s="88" t="str">
        <x:v>THỐNG KÊ MÔ TẢ VÀ PHÂN TÍCH NHÓM</x:v>
      </x:c>
      <x:c r="F1" s="88" t="str">
        <x:v>THỐNG KÊ MÔ TẢ VÀ PHÂN TÍCH NHÓM</x:v>
      </x:c>
      <x:c r="G1" s="88" t="str">
        <x:v>THỐNG KÊ MÔ TẢ VÀ PHÂN TÍCH NHÓM</x:v>
      </x:c>
      <x:c r="H1" s="88" t="str">
        <x:v>THỐNG KÊ MÔ TẢ VÀ PHÂN TÍCH NHÓM</x:v>
      </x:c>
      <x:c r="I1" s="88" t="str">
        <x:v>THỐNG KÊ MÔ TẢ VÀ PHÂN TÍCH NHÓM</x:v>
      </x:c>
    </x:row>
    <x:row r="3" ht="24" customHeight="1">
      <x:c r="A3" s="90" t="str">
        <x:v>Toàn bộ 76 quan sát</x:v>
      </x:c>
      <x:c r="B3" s="90" t="str">
        <x:v>Toàn bộ 76 quan sát</x:v>
      </x:c>
      <x:c r="C3" s="90" t="str">
        <x:v>Toàn bộ 76 quan sát</x:v>
      </x:c>
      <x:c r="D3" s="90" t="str">
        <x:v>Toàn bộ 76 quan sát</x:v>
      </x:c>
      <x:c r="E3" s="90" t="str">
        <x:v>Theo khu vực</x:v>
      </x:c>
      <x:c r="F3" s="90" t="str">
        <x:v>Theo khu vực</x:v>
      </x:c>
      <x:c r="G3" s="90" t="str">
        <x:v>Theo khu vực</x:v>
      </x:c>
      <x:c r="H3" s="90" t="str">
        <x:v>Theo khu vực</x:v>
      </x:c>
      <x:c r="I3" s="90" t="str">
        <x:v>Theo khu vực</x:v>
      </x:c>
    </x:row>
    <x:row r="4">
      <x:c r="A4" s="42" t="str">
        <x:v>Chỉ số</x:v>
      </x:c>
      <x:c r="B4" s="42" t="str">
        <x:v>Khoảng cách</x:v>
      </x:c>
      <x:c r="C4" s="42" t="str">
        <x:v>Giá thuê</x:v>
      </x:c>
      <x:c r="E4" s="42" t="str">
        <x:v>Khu vực</x:v>
      </x:c>
      <x:c r="F4" s="42" t="str">
        <x:v>N</x:v>
      </x:c>
      <x:c r="G4" s="42" t="str">
        <x:v>Khoảng cách TB</x:v>
      </x:c>
      <x:c r="H4" s="42" t="str">
        <x:v>Giá TB</x:v>
      </x:c>
    </x:row>
    <x:row r="5">
      <x:c r="A5" s="66" t="str">
        <x:v>N</x:v>
      </x:c>
      <x:c r="B5" s="108" t="n">
        <x:f>COUNT('DuLieuMau'!$G$2:$G$77)</x:f>
        <x:v>76</x:v>
      </x:c>
      <x:c r="C5" s="108" t="n">
        <x:f>COUNT('DuLieuMau'!$H$2:$H$77)</x:f>
        <x:v>76</x:v>
      </x:c>
      <x:c r="E5" s="66" t="str">
        <x:v>Dom A</x:v>
      </x:c>
      <x:c r="F5" s="66" t="n">
        <x:v>4</x:v>
      </x:c>
      <x:c r="G5" s="136" t="n">
        <x:v>0.2</x:v>
      </x:c>
      <x:c r="H5" s="136" t="n">
        <x:v>0.95</x:v>
      </x:c>
    </x:row>
    <x:row r="6">
      <x:c r="A6" s="69" t="str">
        <x:v>Mean</x:v>
      </x:c>
      <x:c r="B6" s="70" t="n">
        <x:f>AVERAGE('DuLieuMau'!$G$2:$G$77)</x:f>
        <x:v>3.5184210526315787</x:v>
      </x:c>
      <x:c r="C6" s="70" t="n">
        <x:f>AVERAGE('DuLieuMau'!$H$2:$H$77)</x:f>
        <x:v>1.7684210526315787</x:v>
      </x:c>
      <x:c r="E6" s="69" t="str">
        <x:v>Dom B</x:v>
      </x:c>
      <x:c r="F6" s="69" t="n">
        <x:v>7</x:v>
      </x:c>
      <x:c r="G6" s="137" t="n">
        <x:v>0.3714285714285714</x:v>
      </x:c>
      <x:c r="H6" s="137" t="n">
        <x:v>1.0142857142857142</x:v>
      </x:c>
    </x:row>
    <x:row r="7">
      <x:c r="A7" s="69" t="str">
        <x:v>Median</x:v>
      </x:c>
      <x:c r="B7" s="70" t="n">
        <x:f>MEDIAN('DuLieuMau'!$G$2:$G$77)</x:f>
        <x:v>3.25</x:v>
      </x:c>
      <x:c r="C7" s="70" t="n">
        <x:f>MEDIAN('DuLieuMau'!$H$2:$H$77)</x:f>
        <x:v>1.9</x:v>
      </x:c>
      <x:c r="E7" s="69" t="str">
        <x:v>Dom D</x:v>
      </x:c>
      <x:c r="F7" s="69" t="n">
        <x:v>4</x:v>
      </x:c>
      <x:c r="G7" s="137" t="n">
        <x:v>0.42500000000000004</x:v>
      </x:c>
      <x:c r="H7" s="137" t="n">
        <x:v>1.0250000000000001</x:v>
      </x:c>
    </x:row>
    <x:row r="8">
      <x:c r="A8" s="69" t="str">
        <x:v>StDev</x:v>
      </x:c>
      <x:c r="B8" s="70" t="n">
        <x:f>STDEV('DuLieuMau'!$G$2:$G$77)</x:f>
        <x:v>2.3546102594026492</x:v>
      </x:c>
      <x:c r="C8" s="70" t="n">
        <x:f>STDEV('DuLieuMau'!$H$2:$H$77)</x:f>
        <x:v>0.5416543858256947</x:v>
      </x:c>
      <x:c r="E8" s="69" t="str">
        <x:v>Dom C</x:v>
      </x:c>
      <x:c r="F8" s="69" t="n">
        <x:v>2</x:v>
      </x:c>
      <x:c r="G8" s="137" t="n">
        <x:v>0.55</x:v>
      </x:c>
      <x:c r="H8" s="137" t="n">
        <x:v>1.1</x:v>
      </x:c>
    </x:row>
    <x:row r="9">
      <x:c r="A9" s="69" t="str">
        <x:v>Min</x:v>
      </x:c>
      <x:c r="B9" s="70" t="n">
        <x:f>MIN('DuLieuMau'!$G$2:$G$77)</x:f>
        <x:v>0.1</x:v>
      </x:c>
      <x:c r="C9" s="70" t="n">
        <x:f>MIN('DuLieuMau'!$H$2:$H$77)</x:f>
        <x:v>0.8</x:v>
      </x:c>
      <x:c r="E9" s="69" t="str">
        <x:v>Tân Xã</x:v>
      </x:c>
      <x:c r="F9" s="69" t="n">
        <x:v>20</x:v>
      </x:c>
      <x:c r="G9" s="137" t="n">
        <x:v>2.805</x:v>
      </x:c>
      <x:c r="H9" s="137" t="n">
        <x:v>2.1750000000000003</x:v>
      </x:c>
    </x:row>
    <x:row r="10">
      <x:c r="A10" s="69" t="str">
        <x:v>Max</x:v>
      </x:c>
      <x:c r="B10" s="70" t="n">
        <x:f>MAX('DuLieuMau'!$G$2:$G$77)</x:f>
        <x:v>8.2</x:v>
      </x:c>
      <x:c r="C10" s="70" t="n">
        <x:f>MAX('DuLieuMau'!$H$2:$H$77)</x:f>
        <x:v>3</x:v>
      </x:c>
      <x:c r="E10" s="69" t="str">
        <x:v>Thạch Hòa</x:v>
      </x:c>
      <x:c r="F10" s="69" t="n">
        <x:v>16</x:v>
      </x:c>
      <x:c r="G10" s="137" t="n">
        <x:v>3.6125000000000003</x:v>
      </x:c>
      <x:c r="H10" s="137" t="n">
        <x:v>2.23125</x:v>
      </x:c>
    </x:row>
    <x:row r="11">
      <x:c r="A11" s="72" t="str">
        <x:v>Correlation</x:v>
      </x:c>
      <x:c r="B11" s="73" t="n">
        <x:f>CORREL('DuLieuMau'!$G$2:$G$77,'DuLieuMau'!$H$2:$H$77)</x:f>
        <x:v>0.24561692881572383</x:v>
      </x:c>
      <x:c r="C11" s="73"/>
      <x:c r="E11" s="72" t="str">
        <x:v>Hòa Lạc</x:v>
      </x:c>
      <x:c r="F11" s="72" t="n">
        <x:v>23</x:v>
      </x:c>
      <x:c r="G11" s="138" t="n">
        <x:v>6.404347826086956</x:v>
      </x:c>
      <x:c r="H11" s="138" t="n">
        <x:v>1.652173913043478</x:v>
      </x:c>
    </x:row>
    <x:row r="14" ht="24" customHeight="1">
      <x:c r="A14" s="90" t="str">
        <x:v>Theo loại phòng</x:v>
      </x:c>
      <x:c r="B14" s="90" t="str">
        <x:v>Theo loại phòng</x:v>
      </x:c>
      <x:c r="C14" s="90" t="str">
        <x:v>Theo loại phòng</x:v>
      </x:c>
      <x:c r="D14" s="90" t="str">
        <x:v>Theo loại phòng</x:v>
      </x:c>
      <x:c r="E14" s="90" t="str">
        <x:v>Theo loại phòng</x:v>
      </x:c>
      <x:c r="F14" s="90" t="str">
        <x:v>Theo loại phòng</x:v>
      </x:c>
      <x:c r="G14" s="90" t="str">
        <x:v>Theo loại phòng</x:v>
      </x:c>
      <x:c r="H14" s="90" t="str">
        <x:v>Theo loại phòng</x:v>
      </x:c>
      <x:c r="I14" s="90" t="str">
        <x:v>Theo loại phòng</x:v>
      </x:c>
    </x:row>
    <x:row r="15">
      <x:c r="A15" s="42" t="str">
        <x:v>Loại phòng</x:v>
      </x:c>
      <x:c r="B15" s="42" t="str">
        <x:v>N</x:v>
      </x:c>
      <x:c r="C15" s="42" t="str">
        <x:v>Khoảng cách TB</x:v>
      </x:c>
      <x:c r="D15" s="42" t="str">
        <x:v>Giá TB</x:v>
      </x:c>
    </x:row>
    <x:row r="16">
      <x:c r="A16" s="66" t="str">
        <x:v>Ký túc xá</x:v>
      </x:c>
      <x:c r="B16" s="66" t="n">
        <x:v>17</x:v>
      </x:c>
      <x:c r="C16" s="136" t="n">
        <x:v>0.36470588235294116</x:v>
      </x:c>
      <x:c r="D16" s="136" t="n">
        <x:v>1.0117647058823531</x:v>
      </x:c>
    </x:row>
    <x:row r="17">
      <x:c r="A17" s="69" t="str">
        <x:v>Chung cư mini/Studio</x:v>
      </x:c>
      <x:c r="B17" s="69" t="n">
        <x:v>1</x:v>
      </x:c>
      <x:c r="C17" s="137" t="n">
        <x:v>3.1</x:v>
      </x:c>
      <x:c r="D17" s="137" t="n">
        <x:v>2.8</x:v>
      </x:c>
    </x:row>
    <x:row r="18">
      <x:c r="A18" s="69" t="str">
        <x:v>Phòng trọ cơ bản</x:v>
      </x:c>
      <x:c r="B18" s="69" t="n">
        <x:v>30</x:v>
      </x:c>
      <x:c r="C18" s="137" t="n">
        <x:v>3.1133333333333337</x:v>
      </x:c>
      <x:c r="D18" s="137" t="n">
        <x:v>2.083333333333333</x:v>
      </x:c>
    </x:row>
    <x:row r="19">
      <x:c r="A19" s="69" t="str">
        <x:v>Chung cư mini</x:v>
      </x:c>
      <x:c r="B19" s="69" t="n">
        <x:v>4</x:v>
      </x:c>
      <x:c r="C19" s="137" t="n">
        <x:v>3.5999999999999996</x:v>
      </x:c>
      <x:c r="D19" s="137" t="n">
        <x:v>2.8499999999999996</x:v>
      </x:c>
    </x:row>
    <x:row r="20">
      <x:c r="A20" s="72" t="str">
        <x:v>Phòng khép kín</x:v>
      </x:c>
      <x:c r="B20" s="72" t="n">
        <x:v>24</x:v>
      </x:c>
      <x:c r="C20" s="138" t="n">
        <x:v>6.2625</x:v>
      </x:c>
      <x:c r="D20" s="138" t="n">
        <x:v>1.6874999999999998</x:v>
      </x:c>
    </x:row>
  </x:sheetData>
  <x:mergeCells>
    <x:mergeCell ref="A1:I1"/>
    <x:mergeCell ref="A3:D3"/>
    <x:mergeCell ref="E3:I3"/>
    <x:mergeCell ref="A14:I14"/>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7" hidden="0" customWidth="1"/>
    <x:col min="2" max="2" width="13" hidden="0" customWidth="1"/>
    <x:col min="3" max="3" width="14" hidden="0" customWidth="1"/>
    <x:col min="4" max="4" width="24" hidden="0" customWidth="1"/>
    <x:col min="5" max="5" width="12" hidden="0" customWidth="1"/>
    <x:col min="6" max="6" width="12" hidden="0" customWidth="1"/>
    <x:col min="7" max="7" width="12" hidden="0" customWidth="1"/>
    <x:col min="8" max="8" width="12" hidden="0" customWidth="1"/>
    <x:col min="9" max="9" width="19" hidden="0" customWidth="1"/>
    <x:col min="10" max="10" width="14" hidden="0" customWidth="1"/>
    <x:col min="11" max="11" width="12" hidden="0" customWidth="1"/>
    <x:col min="12" max="12" width="13" hidden="0" customWidth="1"/>
    <x:col min="13" max="13" width="12" hidden="0" customWidth="1"/>
    <x:col min="14" max="14" width="14" hidden="0" customWidth="1"/>
  </x:cols>
  <x:sheetData>
    <x:row r="1" ht="36" customHeight="1">
      <x:c r="A1" s="42" t="str">
        <x:v>STT</x:v>
      </x:c>
      <x:c r="B1" s="42" t="str">
        <x:v>Mã SV</x:v>
      </x:c>
      <x:c r="C1" s="42" t="str">
        <x:v>Khu vực</x:v>
      </x:c>
      <x:c r="D1" s="42" t="str">
        <x:v>Loại phòng</x:v>
      </x:c>
      <x:c r="E1" s="42" t="str">
        <x:v>X</x:v>
      </x:c>
      <x:c r="F1" s="42" t="str">
        <x:v>Y</x:v>
      </x:c>
      <x:c r="G1" s="42" t="str">
        <x:v>x−x̄</x:v>
      </x:c>
      <x:c r="H1" s="42" t="str">
        <x:v>y−ȳ</x:v>
      </x:c>
      <x:c r="I1" s="42" t="str">
        <x:v>(x−x̄)(y−ȳ)</x:v>
      </x:c>
      <x:c r="J1" s="42" t="str">
        <x:v>(x−x̄)²</x:v>
      </x:c>
      <x:c r="K1" s="42" t="str">
        <x:v>Ŷ</x:v>
      </x:c>
      <x:c r="L1" s="42" t="str">
        <x:v>e=Y−Ŷ</x:v>
      </x:c>
      <x:c r="M1" s="42" t="str">
        <x:v>e²</x:v>
      </x:c>
      <x:c r="N1" s="42" t="str">
        <x:v>(y−ȳ)²</x:v>
      </x:c>
    </x:row>
    <x:row r="2">
      <x:c r="A2" s="66" t="n">
        <x:v>1</x:v>
      </x:c>
      <x:c r="B2" s="66" t="str">
        <x:v>HS202230</x:v>
      </x:c>
      <x:c r="C2" s="66" t="str">
        <x:v>Tân Xã</x:v>
      </x:c>
      <x:c r="D2" s="66" t="str">
        <x:v>Phòng trọ cơ bản</x:v>
      </x:c>
      <x:c r="E2" s="67" t="n">
        <x:v>0.5</x:v>
      </x:c>
      <x:c r="F2" s="67" t="n">
        <x:v>1.6</x:v>
      </x:c>
      <x:c r="G2" s="68" t="n">
        <x:f>E2-'UocLuongOLS'!$B$6</x:f>
        <x:v>-3.9271186440677974</x:v>
      </x:c>
      <x:c r="H2" s="68" t="n">
        <x:f>F2-'UocLuongOLS'!$B$7</x:f>
        <x:v>-0.3864406779661025</x:v>
      </x:c>
      <x:c r="I2" s="68" t="n">
        <x:f>G2*H2</x:f>
        <x:v>1.5175983912668807</x:v>
      </x:c>
      <x:c r="J2" s="68" t="n">
        <x:f>G2^2</x:f>
        <x:v>15.422260844584896</x:v>
      </x:c>
      <x:c r="K2" s="68" t="n">
        <x:f>'UocLuongOLS'!$B$14+'UocLuongOLS'!$B$13*E2</x:f>
        <x:v>2.5584257234748775</x:v>
      </x:c>
      <x:c r="L2" s="68" t="n">
        <x:f>F2-K2</x:f>
        <x:v>-0.9584257234748774</x:v>
      </x:c>
      <x:c r="M2" s="68" t="n">
        <x:f>L2^2</x:f>
        <x:v>0.9185798674183422</x:v>
      </x:c>
      <x:c r="N2" s="68" t="n">
        <x:f>H2^2</x:f>
        <x:v>0.14933639758690093</x:v>
      </x:c>
    </x:row>
    <x:row r="3">
      <x:c r="A3" s="69" t="n">
        <x:v>2</x:v>
      </x:c>
      <x:c r="B3" s="69" t="str">
        <x:v>HS196469</x:v>
      </x:c>
      <x:c r="C3" s="69" t="str">
        <x:v>Tân Xã</x:v>
      </x:c>
      <x:c r="D3" s="69" t="str">
        <x:v>Phòng trọ cơ bản</x:v>
      </x:c>
      <x:c r="E3" s="70" t="n">
        <x:v>1.9</x:v>
      </x:c>
      <x:c r="F3" s="70" t="n">
        <x:v>2.1</x:v>
      </x:c>
      <x:c r="G3" s="71" t="n">
        <x:f>E3-'UocLuongOLS'!$B$6</x:f>
        <x:v>-2.5271186440677975</x:v>
      </x:c>
      <x:c r="H3" s="71" t="n">
        <x:f>F3-'UocLuongOLS'!$B$7</x:f>
        <x:v>0.11355932203389751</x:v>
      </x:c>
      <x:c r="I3" s="71" t="n">
        <x:f>G3*H3</x:f>
        <x:v>-0.2869778799195615</x:v>
      </x:c>
      <x:c r="J3" s="71" t="n">
        <x:f>G3^2</x:f>
        <x:v>6.386328641195063</x:v>
      </x:c>
      <x:c r="K3" s="71" t="n">
        <x:f>'UocLuongOLS'!$B$14+'UocLuongOLS'!$B$13*E3</x:f>
        <x:v>2.354515646828245</x:v>
      </x:c>
      <x:c r="L3" s="71" t="n">
        <x:f>F3-K3</x:f>
        <x:v>-0.2545156468282448</x:v>
      </x:c>
      <x:c r="M3" s="71" t="n">
        <x:f>L3^2</x:f>
        <x:v>0.06477821448039983</x:v>
      </x:c>
      <x:c r="N3" s="71" t="n">
        <x:f>H3^2</x:f>
        <x:v>0.012895719620798442</x:v>
      </x:c>
    </x:row>
    <x:row r="4">
      <x:c r="A4" s="69" t="n">
        <x:v>3</x:v>
      </x:c>
      <x:c r="B4" s="69" t="str">
        <x:v>HE215550</x:v>
      </x:c>
      <x:c r="C4" s="69" t="str">
        <x:v>Tân Xã</x:v>
      </x:c>
      <x:c r="D4" s="69" t="str">
        <x:v>Phòng trọ cơ bản</x:v>
      </x:c>
      <x:c r="E4" s="70" t="n">
        <x:v>2</x:v>
      </x:c>
      <x:c r="F4" s="70" t="n">
        <x:v>1.6</x:v>
      </x:c>
      <x:c r="G4" s="71" t="n">
        <x:f>E4-'UocLuongOLS'!$B$6</x:f>
        <x:v>-2.4271186440677974</x:v>
      </x:c>
      <x:c r="H4" s="71" t="n">
        <x:f>F4-'UocLuongOLS'!$B$7</x:f>
        <x:v>-0.3864406779661025</x:v>
      </x:c>
      <x:c r="I4" s="71" t="n">
        <x:f>G4*H4</x:f>
        <x:v>0.9379373743177271</x:v>
      </x:c>
      <x:c r="J4" s="71" t="n">
        <x:f>G4^2</x:f>
        <x:v>5.890904912381504</x:v>
      </x:c>
      <x:c r="K4" s="71" t="n">
        <x:f>'UocLuongOLS'!$B$14+'UocLuongOLS'!$B$13*E4</x:f>
        <x:v>2.3399506413534854</x:v>
      </x:c>
      <x:c r="L4" s="71" t="n">
        <x:f>F4-K4</x:f>
        <x:v>-0.7399506413534853</x:v>
      </x:c>
      <x:c r="M4" s="71" t="n">
        <x:f>L4^2</x:f>
        <x:v>0.5475269516394342</x:v>
      </x:c>
      <x:c r="N4" s="71" t="n">
        <x:f>H4^2</x:f>
        <x:v>0.14933639758690093</x:v>
      </x:c>
    </x:row>
    <x:row r="5">
      <x:c r="A5" s="69" t="n">
        <x:v>4</x:v>
      </x:c>
      <x:c r="B5" s="69" t="str">
        <x:v>HS209456</x:v>
      </x:c>
      <x:c r="C5" s="69" t="str">
        <x:v>Tân Xã</x:v>
      </x:c>
      <x:c r="D5" s="69" t="str">
        <x:v>Phòng trọ cơ bản</x:v>
      </x:c>
      <x:c r="E5" s="70" t="n">
        <x:v>2.3</x:v>
      </x:c>
      <x:c r="F5" s="70" t="n">
        <x:v>2.3</x:v>
      </x:c>
      <x:c r="G5" s="71" t="n">
        <x:f>E5-'UocLuongOLS'!$B$6</x:f>
        <x:v>-2.1271186440677976</x:v>
      </x:c>
      <x:c r="H5" s="71" t="n">
        <x:f>F5-'UocLuongOLS'!$B$7</x:f>
        <x:v>0.31355932203389725</x:v>
      </x:c>
      <x:c r="I5" s="71" t="n">
        <x:f>G5*H5</x:f>
        <x:v>-0.6669778799195614</x:v>
      </x:c>
      <x:c r="J5" s="71" t="n">
        <x:f>G5^2</x:f>
        <x:v>4.524633725940826</x:v>
      </x:c>
      <x:c r="K5" s="71" t="n">
        <x:f>'UocLuongOLS'!$B$14+'UocLuongOLS'!$B$13*E5</x:f>
        <x:v>2.296255624929207</x:v>
      </x:c>
      <x:c r="L5" s="71" t="n">
        <x:f>F5-K5</x:f>
        <x:v>0.003744375070792838</x:v>
      </x:c>
      <x:c r="M5" s="71" t="n">
        <x:f>L5^2</x:f>
        <x:v>0.000014020344670774872</x:v>
      </x:c>
      <x:c r="N5" s="71" t="n">
        <x:f>H5^2</x:f>
        <x:v>0.09831944843435728</x:v>
      </x:c>
    </x:row>
    <x:row r="6">
      <x:c r="A6" s="69" t="n">
        <x:v>5</x:v>
      </x:c>
      <x:c r="B6" s="69" t="str">
        <x:v>HS199533</x:v>
      </x:c>
      <x:c r="C6" s="69" t="str">
        <x:v>Tân Xã</x:v>
      </x:c>
      <x:c r="D6" s="69" t="str">
        <x:v>Phòng trọ cơ bản</x:v>
      </x:c>
      <x:c r="E6" s="70" t="n">
        <x:v>2.3</x:v>
      </x:c>
      <x:c r="F6" s="70" t="n">
        <x:v>2.3</x:v>
      </x:c>
      <x:c r="G6" s="71" t="n">
        <x:f>E6-'UocLuongOLS'!$B$6</x:f>
        <x:v>-2.1271186440677976</x:v>
      </x:c>
      <x:c r="H6" s="71" t="n">
        <x:f>F6-'UocLuongOLS'!$B$7</x:f>
        <x:v>0.31355932203389725</x:v>
      </x:c>
      <x:c r="I6" s="71" t="n">
        <x:f>G6*H6</x:f>
        <x:v>-0.6669778799195614</x:v>
      </x:c>
      <x:c r="J6" s="71" t="n">
        <x:f>G6^2</x:f>
        <x:v>4.524633725940826</x:v>
      </x:c>
      <x:c r="K6" s="71" t="n">
        <x:f>'UocLuongOLS'!$B$14+'UocLuongOLS'!$B$13*E6</x:f>
        <x:v>2.296255624929207</x:v>
      </x:c>
      <x:c r="L6" s="71" t="n">
        <x:f>F6-K6</x:f>
        <x:v>0.003744375070792838</x:v>
      </x:c>
      <x:c r="M6" s="71" t="n">
        <x:f>L6^2</x:f>
        <x:v>0.000014020344670774872</x:v>
      </x:c>
      <x:c r="N6" s="71" t="n">
        <x:f>H6^2</x:f>
        <x:v>0.09831944843435728</x:v>
      </x:c>
    </x:row>
    <x:row r="7">
      <x:c r="A7" s="69" t="n">
        <x:v>6</x:v>
      </x:c>
      <x:c r="B7" s="69" t="str">
        <x:v>HS218134</x:v>
      </x:c>
      <x:c r="C7" s="69" t="str">
        <x:v>Tân Xã</x:v>
      </x:c>
      <x:c r="D7" s="69" t="str">
        <x:v>Phòng trọ cơ bản</x:v>
      </x:c>
      <x:c r="E7" s="70" t="n">
        <x:v>2.4</x:v>
      </x:c>
      <x:c r="F7" s="70" t="n">
        <x:v>2.3</x:v>
      </x:c>
      <x:c r="G7" s="71" t="n">
        <x:f>E7-'UocLuongOLS'!$B$6</x:f>
        <x:v>-2.0271186440677975</x:v>
      </x:c>
      <x:c r="H7" s="71" t="n">
        <x:f>F7-'UocLuongOLS'!$B$7</x:f>
        <x:v>0.31355932203389725</x:v>
      </x:c>
      <x:c r="I7" s="71" t="n">
        <x:f>G7*H7</x:f>
        <x:v>-0.6356219477161716</x:v>
      </x:c>
      <x:c r="J7" s="71" t="n">
        <x:f>G7^2</x:f>
        <x:v>4.109209997127266</x:v>
      </x:c>
      <x:c r="K7" s="71" t="n">
        <x:f>'UocLuongOLS'!$B$14+'UocLuongOLS'!$B$13*E7</x:f>
        <x:v>2.2816906194544475</x:v>
      </x:c>
      <x:c r="L7" s="71" t="n">
        <x:f>F7-K7</x:f>
        <x:v>0.018309380545552312</x:v>
      </x:c>
      <x:c r="M7" s="71" t="n">
        <x:f>L7^2</x:f>
        <x:v>0.0003352334159618495</x:v>
      </x:c>
      <x:c r="N7" s="71" t="n">
        <x:f>H7^2</x:f>
        <x:v>0.09831944843435728</x:v>
      </x:c>
    </x:row>
    <x:row r="8">
      <x:c r="A8" s="69" t="n">
        <x:v>7</x:v>
      </x:c>
      <x:c r="B8" s="69" t="str">
        <x:v>HS189978</x:v>
      </x:c>
      <x:c r="C8" s="69" t="str">
        <x:v>Tân Xã</x:v>
      </x:c>
      <x:c r="D8" s="69" t="str">
        <x:v>Phòng trọ cơ bản</x:v>
      </x:c>
      <x:c r="E8" s="70" t="n">
        <x:v>2.5</x:v>
      </x:c>
      <x:c r="F8" s="70" t="n">
        <x:v>2.3</x:v>
      </x:c>
      <x:c r="G8" s="71" t="n">
        <x:f>E8-'UocLuongOLS'!$B$6</x:f>
        <x:v>-1.9271186440677974</x:v>
      </x:c>
      <x:c r="H8" s="71" t="n">
        <x:f>F8-'UocLuongOLS'!$B$7</x:f>
        <x:v>0.31355932203389725</x:v>
      </x:c>
      <x:c r="I8" s="71" t="n">
        <x:f>G8*H8</x:f>
        <x:v>-0.6042660155127819</x:v>
      </x:c>
      <x:c r="J8" s="71" t="n">
        <x:f>G8^2</x:f>
        <x:v>3.713786268313706</x:v>
      </x:c>
      <x:c r="K8" s="71" t="n">
        <x:f>'UocLuongOLS'!$B$14+'UocLuongOLS'!$B$13*E8</x:f>
        <x:v>2.267125613979688</x:v>
      </x:c>
      <x:c r="L8" s="71" t="n">
        <x:f>F8-K8</x:f>
        <x:v>0.032874386020311785</x:v>
      </x:c>
      <x:c r="M8" s="71" t="n">
        <x:f>L8^2</x:f>
        <x:v>0.001080725256212471</x:v>
      </x:c>
      <x:c r="N8" s="71" t="n">
        <x:f>H8^2</x:f>
        <x:v>0.09831944843435728</x:v>
      </x:c>
    </x:row>
    <x:row r="9">
      <x:c r="A9" s="69" t="n">
        <x:v>8</x:v>
      </x:c>
      <x:c r="B9" s="69" t="str">
        <x:v>HS195403</x:v>
      </x:c>
      <x:c r="C9" s="69" t="str">
        <x:v>Tân Xã</x:v>
      </x:c>
      <x:c r="D9" s="69" t="str">
        <x:v>Phòng trọ cơ bản</x:v>
      </x:c>
      <x:c r="E9" s="70" t="n">
        <x:v>2.5</x:v>
      </x:c>
      <x:c r="F9" s="70" t="n">
        <x:v>2.3</x:v>
      </x:c>
      <x:c r="G9" s="71" t="n">
        <x:f>E9-'UocLuongOLS'!$B$6</x:f>
        <x:v>-1.9271186440677974</x:v>
      </x:c>
      <x:c r="H9" s="71" t="n">
        <x:f>F9-'UocLuongOLS'!$B$7</x:f>
        <x:v>0.31355932203389725</x:v>
      </x:c>
      <x:c r="I9" s="71" t="n">
        <x:f>G9*H9</x:f>
        <x:v>-0.6042660155127819</x:v>
      </x:c>
      <x:c r="J9" s="71" t="n">
        <x:f>G9^2</x:f>
        <x:v>3.713786268313706</x:v>
      </x:c>
      <x:c r="K9" s="71" t="n">
        <x:f>'UocLuongOLS'!$B$14+'UocLuongOLS'!$B$13*E9</x:f>
        <x:v>2.267125613979688</x:v>
      </x:c>
      <x:c r="L9" s="71" t="n">
        <x:f>F9-K9</x:f>
        <x:v>0.032874386020311785</x:v>
      </x:c>
      <x:c r="M9" s="71" t="n">
        <x:f>L9^2</x:f>
        <x:v>0.001080725256212471</x:v>
      </x:c>
      <x:c r="N9" s="71" t="n">
        <x:f>H9^2</x:f>
        <x:v>0.09831944843435728</x:v>
      </x:c>
    </x:row>
    <x:row r="10">
      <x:c r="A10" s="69" t="n">
        <x:v>9</x:v>
      </x:c>
      <x:c r="B10" s="69" t="str">
        <x:v>HC208881</x:v>
      </x:c>
      <x:c r="C10" s="69" t="str">
        <x:v>Thạch Hòa</x:v>
      </x:c>
      <x:c r="D10" s="69" t="str">
        <x:v>Phòng trọ cơ bản</x:v>
      </x:c>
      <x:c r="E10" s="70" t="n">
        <x:v>2.6</x:v>
      </x:c>
      <x:c r="F10" s="70" t="n">
        <x:v>2.3</x:v>
      </x:c>
      <x:c r="G10" s="71" t="n">
        <x:f>E10-'UocLuongOLS'!$B$6</x:f>
        <x:v>-1.8271186440677973</x:v>
      </x:c>
      <x:c r="H10" s="71" t="n">
        <x:f>F10-'UocLuongOLS'!$B$7</x:f>
        <x:v>0.31355932203389725</x:v>
      </x:c>
      <x:c r="I10" s="71" t="n">
        <x:f>G10*H10</x:f>
        <x:v>-0.5729100833093922</x:v>
      </x:c>
      <x:c r="J10" s="71" t="n">
        <x:f>G10^2</x:f>
        <x:v>3.3383625395001464</x:v>
      </x:c>
      <x:c r="K10" s="71" t="n">
        <x:f>'UocLuongOLS'!$B$14+'UocLuongOLS'!$B$13*E10</x:f>
        <x:v>2.2525606085049286</x:v>
      </x:c>
      <x:c r="L10" s="71" t="n">
        <x:f>F10-K10</x:f>
        <x:v>0.04743939149507126</x:v>
      </x:c>
      <x:c r="M10" s="71" t="n">
        <x:f>L10^2</x:f>
        <x:v>0.0022504958654226393</x:v>
      </x:c>
      <x:c r="N10" s="71" t="n">
        <x:f>H10^2</x:f>
        <x:v>0.09831944843435728</x:v>
      </x:c>
    </x:row>
    <x:row r="11">
      <x:c r="A11" s="69" t="n">
        <x:v>10</x:v>
      </x:c>
      <x:c r="B11" s="69" t="str">
        <x:v>HA190615</x:v>
      </x:c>
      <x:c r="C11" s="69" t="str">
        <x:v>Tân Xã</x:v>
      </x:c>
      <x:c r="D11" s="69" t="str">
        <x:v>Phòng trọ cơ bản</x:v>
      </x:c>
      <x:c r="E11" s="70" t="n">
        <x:v>2.7</x:v>
      </x:c>
      <x:c r="F11" s="70" t="n">
        <x:v>2.4</x:v>
      </x:c>
      <x:c r="G11" s="71" t="n">
        <x:f>E11-'UocLuongOLS'!$B$6</x:f>
        <x:v>-1.7271186440677972</x:v>
      </x:c>
      <x:c r="H11" s="71" t="n">
        <x:f>F11-'UocLuongOLS'!$B$7</x:f>
        <x:v>0.41355932203389734</x:v>
      </x:c>
      <x:c r="I11" s="71" t="n">
        <x:f>G11*H11</x:f>
        <x:v>-0.7142660155127822</x:v>
      </x:c>
      <x:c r="J11" s="71" t="n">
        <x:f>G11^2</x:f>
        <x:v>2.9829388106865866</x:v>
      </x:c>
      <x:c r="K11" s="71" t="n">
        <x:f>'UocLuongOLS'!$B$14+'UocLuongOLS'!$B$13*E11</x:f>
        <x:v>2.237995603030169</x:v>
      </x:c>
      <x:c r="L11" s="71" t="n">
        <x:f>F11-K11</x:f>
        <x:v>0.16200439696983082</x:v>
      </x:c>
      <x:c r="M11" s="71" t="n">
        <x:f>L11^2</x:f>
        <x:v>0.02624542463755853</x:v>
      </x:c>
      <x:c r="N11" s="71" t="n">
        <x:f>H11^2</x:f>
        <x:v>0.1710313128411368</x:v>
      </x:c>
    </x:row>
    <x:row r="12">
      <x:c r="A12" s="69" t="n">
        <x:v>11</x:v>
      </x:c>
      <x:c r="B12" s="69" t="str">
        <x:v>HC197475</x:v>
      </x:c>
      <x:c r="C12" s="69" t="str">
        <x:v>Tân Xã</x:v>
      </x:c>
      <x:c r="D12" s="69" t="str">
        <x:v>Phòng trọ cơ bản</x:v>
      </x:c>
      <x:c r="E12" s="70" t="n">
        <x:v>2.7</x:v>
      </x:c>
      <x:c r="F12" s="70" t="n">
        <x:v>1.9</x:v>
      </x:c>
      <x:c r="G12" s="71" t="n">
        <x:f>E12-'UocLuongOLS'!$B$6</x:f>
        <x:v>-1.7271186440677972</x:v>
      </x:c>
      <x:c r="H12" s="71" t="n">
        <x:f>F12-'UocLuongOLS'!$B$7</x:f>
        <x:v>-0.08644067796610266</x:v>
      </x:c>
      <x:c r="I12" s="71" t="n">
        <x:f>G12*H12</x:f>
        <x:v>0.14929330652111636</x:v>
      </x:c>
      <x:c r="J12" s="71" t="n">
        <x:f>G12^2</x:f>
        <x:v>2.9829388106865866</x:v>
      </x:c>
      <x:c r="K12" s="71" t="n">
        <x:f>'UocLuongOLS'!$B$14+'UocLuongOLS'!$B$13*E12</x:f>
        <x:v>2.237995603030169</x:v>
      </x:c>
      <x:c r="L12" s="71" t="n">
        <x:f>F12-K12</x:f>
        <x:v>-0.3379956030301692</x:v>
      </x:c>
      <x:c r="M12" s="71" t="n">
        <x:f>L12^2</x:f>
        <x:v>0.1142410276677277</x:v>
      </x:c>
      <x:c r="N12" s="71" t="n">
        <x:f>H12^2</x:f>
        <x:v>0.007471990807239467</x:v>
      </x:c>
    </x:row>
    <x:row r="13">
      <x:c r="A13" s="69" t="n">
        <x:v>12</x:v>
      </x:c>
      <x:c r="B13" s="69" t="str">
        <x:v>HC181487</x:v>
      </x:c>
      <x:c r="C13" s="69" t="str">
        <x:v>Thạch Hòa</x:v>
      </x:c>
      <x:c r="D13" s="69" t="str">
        <x:v>Phòng trọ cơ bản</x:v>
      </x:c>
      <x:c r="E13" s="70" t="n">
        <x:v>2.8</x:v>
      </x:c>
      <x:c r="F13" s="70" t="n">
        <x:v>2</x:v>
      </x:c>
      <x:c r="G13" s="71" t="n">
        <x:f>E13-'UocLuongOLS'!$B$6</x:f>
        <x:v>-1.6271186440677976</x:v>
      </x:c>
      <x:c r="H13" s="71" t="n">
        <x:f>F13-'UocLuongOLS'!$B$7</x:f>
        <x:v>0.013559322033897425</x:v>
      </x:c>
      <x:c r="I13" s="71" t="n">
        <x:f>G13*H13</x:f>
        <x:v>-0.02206262568227379</x:v>
      </x:c>
      <x:c r="J13" s="71" t="n">
        <x:f>G13^2</x:f>
        <x:v>2.647515081873028</x:v>
      </x:c>
      <x:c r="K13" s="71" t="n">
        <x:f>'UocLuongOLS'!$B$14+'UocLuongOLS'!$B$13*E13</x:f>
        <x:v>2.2234305975554096</x:v>
      </x:c>
      <x:c r="L13" s="71" t="n">
        <x:f>F13-K13</x:f>
        <x:v>-0.22343059755540962</x:v>
      </x:c>
      <x:c r="M13" s="71" t="n">
        <x:f>L13^2</x:f>
        <x:v>0.04992123192396741</x:v>
      </x:c>
      <x:c r="N13" s="71" t="n">
        <x:f>H13^2</x:f>
        <x:v>0.00018385521401893622</x:v>
      </x:c>
    </x:row>
    <x:row r="14">
      <x:c r="A14" s="69" t="n">
        <x:v>13</x:v>
      </x:c>
      <x:c r="B14" s="69" t="str">
        <x:v>HA195055</x:v>
      </x:c>
      <x:c r="C14" s="69" t="str">
        <x:v>Thạch Hòa</x:v>
      </x:c>
      <x:c r="D14" s="69" t="str">
        <x:v>Phòng trọ cơ bản</x:v>
      </x:c>
      <x:c r="E14" s="70" t="n">
        <x:v>2.9</x:v>
      </x:c>
      <x:c r="F14" s="70" t="n">
        <x:v>2.2</x:v>
      </x:c>
      <x:c r="G14" s="71" t="n">
        <x:f>E14-'UocLuongOLS'!$B$6</x:f>
        <x:v>-1.5271186440677975</x:v>
      </x:c>
      <x:c r="H14" s="71" t="n">
        <x:f>F14-'UocLuongOLS'!$B$7</x:f>
        <x:v>0.2135593220338976</x:v>
      </x:c>
      <x:c r="I14" s="71" t="n">
        <x:f>G14*H14</x:f>
        <x:v>-0.3261304222924438</x:v>
      </x:c>
      <x:c r="J14" s="71" t="n">
        <x:f>G14^2</x:f>
        <x:v>2.3320913530594685</x:v>
      </x:c>
      <x:c r="K14" s="71" t="n">
        <x:f>'UocLuongOLS'!$B$14+'UocLuongOLS'!$B$13*E14</x:f>
        <x:v>2.20886559208065</x:v>
      </x:c>
      <x:c r="L14" s="71" t="n">
        <x:f>F14-K14</x:f>
        <x:v>-0.008865592080649964</x:v>
      </x:c>
      <x:c r="M14" s="71" t="n">
        <x:f>L14^2</x:f>
        <x:v>0.00007859872294048337</x:v>
      </x:c>
      <x:c r="N14" s="71" t="n">
        <x:f>H14^2</x:f>
        <x:v>0.04560758402757798</x:v>
      </x:c>
    </x:row>
    <x:row r="15">
      <x:c r="A15" s="69" t="n">
        <x:v>14</x:v>
      </x:c>
      <x:c r="B15" s="69" t="str">
        <x:v>HE191342</x:v>
      </x:c>
      <x:c r="C15" s="69" t="str">
        <x:v>Tân Xã</x:v>
      </x:c>
      <x:c r="D15" s="69" t="str">
        <x:v>Phòng trọ cơ bản</x:v>
      </x:c>
      <x:c r="E15" s="70" t="n">
        <x:v>3</x:v>
      </x:c>
      <x:c r="F15" s="70" t="n">
        <x:v>2.5</x:v>
      </x:c>
      <x:c r="G15" s="71" t="n">
        <x:f>E15-'UocLuongOLS'!$B$6</x:f>
        <x:v>-1.4271186440677974</x:v>
      </x:c>
      <x:c r="H15" s="71" t="n">
        <x:f>F15-'UocLuongOLS'!$B$7</x:f>
        <x:v>0.5135593220338974</x:v>
      </x:c>
      <x:c r="I15" s="71" t="n">
        <x:f>G15*H15</x:f>
        <x:v>-0.732910083309393</x:v>
      </x:c>
      <x:c r="J15" s="71" t="n">
        <x:f>G15^2</x:f>
        <x:v>2.0366676242459087</x:v>
      </x:c>
      <x:c r="K15" s="71" t="n">
        <x:f>'UocLuongOLS'!$B$14+'UocLuongOLS'!$B$13*E15</x:f>
        <x:v>2.1943005866058907</x:v>
      </x:c>
      <x:c r="L15" s="71" t="n">
        <x:f>F15-K15</x:f>
        <x:v>0.30569941339410933</x:v>
      </x:c>
      <x:c r="M15" s="71" t="n">
        <x:f>L15^2</x:f>
        <x:v>0.09345213134950255</x:v>
      </x:c>
      <x:c r="N15" s="71" t="n">
        <x:f>H15^2</x:f>
        <x:v>0.26374317724791635</x:v>
      </x:c>
    </x:row>
    <x:row r="16">
      <x:c r="A16" s="69" t="n">
        <x:v>15</x:v>
      </x:c>
      <x:c r="B16" s="69" t="str">
        <x:v>HS210643</x:v>
      </x:c>
      <x:c r="C16" s="69" t="str">
        <x:v>Thạch Hòa</x:v>
      </x:c>
      <x:c r="D16" s="69" t="str">
        <x:v>Phòng trọ cơ bản</x:v>
      </x:c>
      <x:c r="E16" s="70" t="n">
        <x:v>3</x:v>
      </x:c>
      <x:c r="F16" s="70" t="n">
        <x:v>2.1</x:v>
      </x:c>
      <x:c r="G16" s="71" t="n">
        <x:f>E16-'UocLuongOLS'!$B$6</x:f>
        <x:v>-1.4271186440677974</x:v>
      </x:c>
      <x:c r="H16" s="71" t="n">
        <x:f>F16-'UocLuongOLS'!$B$7</x:f>
        <x:v>0.11355932203389751</x:v>
      </x:c>
      <x:c r="I16" s="71" t="n">
        <x:f>G16*H16</x:f>
        <x:v>-0.16206262568227417</x:v>
      </x:c>
      <x:c r="J16" s="71" t="n">
        <x:f>G16^2</x:f>
        <x:v>2.0366676242459087</x:v>
      </x:c>
      <x:c r="K16" s="71" t="n">
        <x:f>'UocLuongOLS'!$B$14+'UocLuongOLS'!$B$13*E16</x:f>
        <x:v>2.1943005866058907</x:v>
      </x:c>
      <x:c r="L16" s="71" t="n">
        <x:f>F16-K16</x:f>
        <x:v>-0.09430058660589058</x:v>
      </x:c>
      <x:c r="M16" s="71" t="n">
        <x:f>L16^2</x:f>
        <x:v>0.00889260063421507</x:v>
      </x:c>
      <x:c r="N16" s="71" t="n">
        <x:f>H16^2</x:f>
        <x:v>0.012895719620798442</x:v>
      </x:c>
    </x:row>
    <x:row r="17">
      <x:c r="A17" s="69" t="n">
        <x:v>16</x:v>
      </x:c>
      <x:c r="B17" s="69" t="str">
        <x:v>HE186023</x:v>
      </x:c>
      <x:c r="C17" s="69" t="str">
        <x:v>Tân Xã</x:v>
      </x:c>
      <x:c r="D17" s="69" t="str">
        <x:v>Phòng khép kín</x:v>
      </x:c>
      <x:c r="E17" s="70" t="n">
        <x:v>3</x:v>
      </x:c>
      <x:c r="F17" s="70" t="n">
        <x:v>2.5</x:v>
      </x:c>
      <x:c r="G17" s="71" t="n">
        <x:f>E17-'UocLuongOLS'!$B$6</x:f>
        <x:v>-1.4271186440677974</x:v>
      </x:c>
      <x:c r="H17" s="71" t="n">
        <x:f>F17-'UocLuongOLS'!$B$7</x:f>
        <x:v>0.5135593220338974</x:v>
      </x:c>
      <x:c r="I17" s="71" t="n">
        <x:f>G17*H17</x:f>
        <x:v>-0.732910083309393</x:v>
      </x:c>
      <x:c r="J17" s="71" t="n">
        <x:f>G17^2</x:f>
        <x:v>2.0366676242459087</x:v>
      </x:c>
      <x:c r="K17" s="71" t="n">
        <x:f>'UocLuongOLS'!$B$14+'UocLuongOLS'!$B$13*E17</x:f>
        <x:v>2.1943005866058907</x:v>
      </x:c>
      <x:c r="L17" s="71" t="n">
        <x:f>F17-K17</x:f>
        <x:v>0.30569941339410933</x:v>
      </x:c>
      <x:c r="M17" s="71" t="n">
        <x:f>L17^2</x:f>
        <x:v>0.09345213134950255</x:v>
      </x:c>
      <x:c r="N17" s="71" t="n">
        <x:f>H17^2</x:f>
        <x:v>0.26374317724791635</x:v>
      </x:c>
    </x:row>
    <x:row r="18">
      <x:c r="A18" s="69" t="n">
        <x:v>17</x:v>
      </x:c>
      <x:c r="B18" s="69" t="str">
        <x:v>HE188935</x:v>
      </x:c>
      <x:c r="C18" s="69" t="str">
        <x:v>Thạch Hòa</x:v>
      </x:c>
      <x:c r="D18" s="69" t="str">
        <x:v>Chung cư mini</x:v>
      </x:c>
      <x:c r="E18" s="70" t="n">
        <x:v>3</x:v>
      </x:c>
      <x:c r="F18" s="70" t="n">
        <x:v>3</x:v>
      </x:c>
      <x:c r="G18" s="71" t="n">
        <x:f>E18-'UocLuongOLS'!$B$6</x:f>
        <x:v>-1.4271186440677974</x:v>
      </x:c>
      <x:c r="H18" s="71" t="n">
        <x:f>F18-'UocLuongOLS'!$B$7</x:f>
        <x:v>1.0135593220338974</x:v>
      </x:c>
      <x:c r="I18" s="71" t="n">
        <x:f>G18*H18</x:f>
        <x:v>-1.4464694053432918</x:v>
      </x:c>
      <x:c r="J18" s="71" t="n">
        <x:f>G18^2</x:f>
        <x:v>2.0366676242459087</x:v>
      </x:c>
      <x:c r="K18" s="71" t="n">
        <x:f>'UocLuongOLS'!$B$14+'UocLuongOLS'!$B$13*E18</x:f>
        <x:v>2.1943005866058907</x:v>
      </x:c>
      <x:c r="L18" s="71" t="n">
        <x:f>F18-K18</x:f>
        <x:v>0.8056994133941093</x:v>
      </x:c>
      <x:c r="M18" s="71" t="n">
        <x:f>L18^2</x:f>
        <x:v>0.6491515447436119</x:v>
      </x:c>
      <x:c r="N18" s="71" t="n">
        <x:f>H18^2</x:f>
        <x:v>1.0273024992818138</x:v>
      </x:c>
    </x:row>
    <x:row r="19">
      <x:c r="A19" s="69" t="n">
        <x:v>18</x:v>
      </x:c>
      <x:c r="B19" s="69" t="str">
        <x:v>HE185306</x:v>
      </x:c>
      <x:c r="C19" s="69" t="str">
        <x:v>Tân Xã</x:v>
      </x:c>
      <x:c r="D19" s="69" t="str">
        <x:v>Phòng trọ cơ bản</x:v>
      </x:c>
      <x:c r="E19" s="70" t="n">
        <x:v>3.1</x:v>
      </x:c>
      <x:c r="F19" s="70" t="n">
        <x:v>2.1</x:v>
      </x:c>
      <x:c r="G19" s="71" t="n">
        <x:f>E19-'UocLuongOLS'!$B$6</x:f>
        <x:v>-1.3271186440677973</x:v>
      </x:c>
      <x:c r="H19" s="71" t="n">
        <x:f>F19-'UocLuongOLS'!$B$7</x:f>
        <x:v>0.11355932203389751</x:v>
      </x:c>
      <x:c r="I19" s="71" t="n">
        <x:f>G19*H19</x:f>
        <x:v>-0.1507066934788844</x:v>
      </x:c>
      <x:c r="J19" s="71" t="n">
        <x:f>G19^2</x:f>
        <x:v>1.761243895432349</x:v>
      </x:c>
      <x:c r="K19" s="71" t="n">
        <x:f>'UocLuongOLS'!$B$14+'UocLuongOLS'!$B$13*E19</x:f>
        <x:v>2.179735581131131</x:v>
      </x:c>
      <x:c r="L19" s="71" t="n">
        <x:f>F19-K19</x:f>
        <x:v>-0.0797355811311311</x:v>
      </x:c>
      <x:c r="M19" s="71" t="n">
        <x:f>L19^2</x:f>
        <x:v>0.006357762898319191</x:v>
      </x:c>
      <x:c r="N19" s="71" t="n">
        <x:f>H19^2</x:f>
        <x:v>0.012895719620798442</x:v>
      </x:c>
    </x:row>
    <x:row r="20">
      <x:c r="A20" s="69" t="n">
        <x:v>19</x:v>
      </x:c>
      <x:c r="B20" s="69" t="str">
        <x:v>HS183658</x:v>
      </x:c>
      <x:c r="C20" s="69" t="str">
        <x:v>Tân Xã</x:v>
      </x:c>
      <x:c r="D20" s="69" t="str">
        <x:v>Chung cư mini/Studio</x:v>
      </x:c>
      <x:c r="E20" s="70" t="n">
        <x:v>3.1</x:v>
      </x:c>
      <x:c r="F20" s="70" t="n">
        <x:v>2.8</x:v>
      </x:c>
      <x:c r="G20" s="71" t="n">
        <x:f>E20-'UocLuongOLS'!$B$6</x:f>
        <x:v>-1.3271186440677973</x:v>
      </x:c>
      <x:c r="H20" s="71" t="n">
        <x:f>F20-'UocLuongOLS'!$B$7</x:f>
        <x:v>0.8135593220338972</x:v>
      </x:c>
      <x:c r="I20" s="71" t="n">
        <x:f>G20*H20</x:f>
        <x:v>-1.0796897443263422</x:v>
      </x:c>
      <x:c r="J20" s="71" t="n">
        <x:f>G20^2</x:f>
        <x:v>1.761243895432349</x:v>
      </x:c>
      <x:c r="K20" s="71" t="n">
        <x:f>'UocLuongOLS'!$B$14+'UocLuongOLS'!$B$13*E20</x:f>
        <x:v>2.179735581131131</x:v>
      </x:c>
      <x:c r="L20" s="71" t="n">
        <x:f>F20-K20</x:f>
        <x:v>0.6202644188688686</x:v>
      </x:c>
      <x:c r="M20" s="71" t="n">
        <x:f>L20^2</x:f>
        <x:v>0.3847279493147353</x:v>
      </x:c>
      <x:c r="N20" s="71" t="n">
        <x:f>H20^2</x:f>
        <x:v>0.6618787704682545</x:v>
      </x:c>
    </x:row>
    <x:row r="21">
      <x:c r="A21" s="69" t="n">
        <x:v>20</x:v>
      </x:c>
      <x:c r="B21" s="69" t="str">
        <x:v>HE215088</x:v>
      </x:c>
      <x:c r="C21" s="69" t="str">
        <x:v>Tân Xã</x:v>
      </x:c>
      <x:c r="D21" s="69" t="str">
        <x:v>Phòng trọ cơ bản</x:v>
      </x:c>
      <x:c r="E21" s="70" t="n">
        <x:v>3.2</x:v>
      </x:c>
      <x:c r="F21" s="70" t="n">
        <x:v>2</x:v>
      </x:c>
      <x:c r="G21" s="71" t="n">
        <x:f>E21-'UocLuongOLS'!$B$6</x:f>
        <x:v>-1.2271186440677972</x:v>
      </x:c>
      <x:c r="H21" s="71" t="n">
        <x:f>F21-'UocLuongOLS'!$B$7</x:f>
        <x:v>0.013559322033897425</x:v>
      </x:c>
      <x:c r="I21" s="71" t="n">
        <x:f>G21*H21</x:f>
        <x:v>-0.016638896868714816</x:v>
      </x:c>
      <x:c r="J21" s="71" t="n">
        <x:f>G21^2</x:f>
        <x:v>1.5058201666187894</x:v>
      </x:c>
      <x:c r="K21" s="71" t="n">
        <x:f>'UocLuongOLS'!$B$14+'UocLuongOLS'!$B$13*E21</x:f>
        <x:v>2.1651705756563717</x:v>
      </x:c>
      <x:c r="L21" s="71" t="n">
        <x:f>F21-K21</x:f>
        <x:v>-0.16517057565637172</x:v>
      </x:c>
      <x:c r="M21" s="71" t="n">
        <x:f>L21^2</x:f>
        <x:v>0.027281319062657215</x:v>
      </x:c>
      <x:c r="N21" s="71" t="n">
        <x:f>H21^2</x:f>
        <x:v>0.00018385521401893622</x:v>
      </x:c>
    </x:row>
    <x:row r="22">
      <x:c r="A22" s="69" t="n">
        <x:v>21</x:v>
      </x:c>
      <x:c r="B22" s="69" t="str">
        <x:v>HS184517</x:v>
      </x:c>
      <x:c r="C22" s="69" t="str">
        <x:v>Tân Xã</x:v>
      </x:c>
      <x:c r="D22" s="69" t="str">
        <x:v>Phòng trọ cơ bản</x:v>
      </x:c>
      <x:c r="E22" s="70" t="n">
        <x:v>3.2</x:v>
      </x:c>
      <x:c r="F22" s="70" t="n">
        <x:v>2.2</x:v>
      </x:c>
      <x:c r="G22" s="71" t="n">
        <x:f>E22-'UocLuongOLS'!$B$6</x:f>
        <x:v>-1.2271186440677972</x:v>
      </x:c>
      <x:c r="H22" s="71" t="n">
        <x:f>F22-'UocLuongOLS'!$B$7</x:f>
        <x:v>0.2135593220338976</x:v>
      </x:c>
      <x:c r="I22" s="71" t="n">
        <x:f>G22*H22</x:f>
        <x:v>-0.2620626256822745</x:v>
      </x:c>
      <x:c r="J22" s="71" t="n">
        <x:f>G22^2</x:f>
        <x:v>1.5058201666187894</x:v>
      </x:c>
      <x:c r="K22" s="71" t="n">
        <x:f>'UocLuongOLS'!$B$14+'UocLuongOLS'!$B$13*E22</x:f>
        <x:v>2.1651705756563717</x:v>
      </x:c>
      <x:c r="L22" s="71" t="n">
        <x:f>F22-K22</x:f>
        <x:v>0.03482942434362846</x:v>
      </x:c>
      <x:c r="M22" s="71" t="n">
        <x:f>L22^2</x:f>
        <x:v>0.0012130888001085386</x:v>
      </x:c>
      <x:c r="N22" s="71" t="n">
        <x:f>H22^2</x:f>
        <x:v>0.04560758402757798</x:v>
      </x:c>
    </x:row>
    <x:row r="23">
      <x:c r="A23" s="69" t="n">
        <x:v>22</x:v>
      </x:c>
      <x:c r="B23" s="69" t="str">
        <x:v>HE217469</x:v>
      </x:c>
      <x:c r="C23" s="69" t="str">
        <x:v>Thạch Hòa</x:v>
      </x:c>
      <x:c r="D23" s="69" t="str">
        <x:v>Phòng trọ cơ bản</x:v>
      </x:c>
      <x:c r="E23" s="70" t="n">
        <x:v>3.3</x:v>
      </x:c>
      <x:c r="F23" s="70" t="n">
        <x:v>2.2</x:v>
      </x:c>
      <x:c r="G23" s="71" t="n">
        <x:f>E23-'UocLuongOLS'!$B$6</x:f>
        <x:v>-1.1271186440677976</x:v>
      </x:c>
      <x:c r="H23" s="71" t="n">
        <x:f>F23-'UocLuongOLS'!$B$7</x:f>
        <x:v>0.2135593220338976</x:v>
      </x:c>
      <x:c r="I23" s="71" t="n">
        <x:f>G23*H23</x:f>
        <x:v>-0.2407066934788848</x:v>
      </x:c>
      <x:c r="J23" s="71" t="n">
        <x:f>G23^2</x:f>
        <x:v>1.2703964378052306</x:v>
      </x:c>
      <x:c r="K23" s="71" t="n">
        <x:f>'UocLuongOLS'!$B$14+'UocLuongOLS'!$B$13*E23</x:f>
        <x:v>2.1506055701816122</x:v>
      </x:c>
      <x:c r="L23" s="71" t="n">
        <x:f>F23-K23</x:f>
        <x:v>0.04939442981838793</x:v>
      </x:c>
      <x:c r="M23" s="71" t="n">
        <x:f>L23^2</x:f>
        <x:v>0.0024398096970836506</x:v>
      </x:c>
      <x:c r="N23" s="71" t="n">
        <x:f>H23^2</x:f>
        <x:v>0.04560758402757798</x:v>
      </x:c>
    </x:row>
    <x:row r="24">
      <x:c r="A24" s="69" t="n">
        <x:v>23</x:v>
      </x:c>
      <x:c r="B24" s="69" t="str">
        <x:v>HS182946</x:v>
      </x:c>
      <x:c r="C24" s="69" t="str">
        <x:v>Thạch Hòa</x:v>
      </x:c>
      <x:c r="D24" s="69" t="str">
        <x:v>Chung cư mini</x:v>
      </x:c>
      <x:c r="E24" s="70" t="n">
        <x:v>3.4</x:v>
      </x:c>
      <x:c r="F24" s="70" t="n">
        <x:v>2.7</x:v>
      </x:c>
      <x:c r="G24" s="71" t="n">
        <x:f>E24-'UocLuongOLS'!$B$6</x:f>
        <x:v>-1.0271186440677975</x:v>
      </x:c>
      <x:c r="H24" s="71" t="n">
        <x:f>F24-'UocLuongOLS'!$B$7</x:f>
        <x:v>0.7135593220338976</x:v>
      </x:c>
      <x:c r="I24" s="71" t="n">
        <x:f>G24*H24</x:f>
        <x:v>-0.7329100833093938</x:v>
      </x:c>
      <x:c r="J24" s="71" t="n">
        <x:f>G24^2</x:f>
        <x:v>1.054972708991671</x:v>
      </x:c>
      <x:c r="K24" s="71" t="n">
        <x:f>'UocLuongOLS'!$B$14+'UocLuongOLS'!$B$13*E24</x:f>
        <x:v>2.1360405647068528</x:v>
      </x:c>
      <x:c r="L24" s="71" t="n">
        <x:f>F24-K24</x:f>
        <x:v>0.5639594352931474</x:v>
      </x:c>
      <x:c r="M24" s="71" t="n">
        <x:f>L24^2</x:f>
        <x:v>0.3180502446561657</x:v>
      </x:c>
      <x:c r="N24" s="71" t="n">
        <x:f>H24^2</x:f>
        <x:v>0.5091669060614756</x:v>
      </x:c>
    </x:row>
    <x:row r="25">
      <x:c r="A25" s="69" t="n">
        <x:v>24</x:v>
      </x:c>
      <x:c r="B25" s="69" t="str">
        <x:v>HE198314</x:v>
      </x:c>
      <x:c r="C25" s="69" t="str">
        <x:v>Thạch Hòa</x:v>
      </x:c>
      <x:c r="D25" s="69" t="str">
        <x:v>Phòng trọ cơ bản</x:v>
      </x:c>
      <x:c r="E25" s="70" t="n">
        <x:v>3.5</x:v>
      </x:c>
      <x:c r="F25" s="70" t="n">
        <x:v>2.1</x:v>
      </x:c>
      <x:c r="G25" s="71" t="n">
        <x:f>E25-'UocLuongOLS'!$B$6</x:f>
        <x:v>-0.9271186440677974</x:v>
      </x:c>
      <x:c r="H25" s="71" t="n">
        <x:f>F25-'UocLuongOLS'!$B$7</x:f>
        <x:v>0.11355932203389751</x:v>
      </x:c>
      <x:c r="I25" s="71" t="n">
        <x:f>G25*H25</x:f>
        <x:v>-0.10528296466532541</x:v>
      </x:c>
      <x:c r="J25" s="71" t="n">
        <x:f>G25^2</x:f>
        <x:v>0.8595489801781112</x:v>
      </x:c>
      <x:c r="K25" s="71" t="n">
        <x:f>'UocLuongOLS'!$B$14+'UocLuongOLS'!$B$13*E25</x:f>
        <x:v>2.1214755592320933</x:v>
      </x:c>
      <x:c r="L25" s="71" t="n">
        <x:f>F25-K25</x:f>
        <x:v>-0.02147555923209321</x:v>
      </x:c>
      <x:c r="M25" s="71" t="n">
        <x:f>L25^2</x:f>
        <x:v>0.00046119964433114397</x:v>
      </x:c>
      <x:c r="N25" s="71" t="n">
        <x:f>H25^2</x:f>
        <x:v>0.012895719620798442</x:v>
      </x:c>
    </x:row>
    <x:row r="26">
      <x:c r="A26" s="69" t="n">
        <x:v>25</x:v>
      </x:c>
      <x:c r="B26" s="69" t="str">
        <x:v>HA201145</x:v>
      </x:c>
      <x:c r="C26" s="69" t="str">
        <x:v>Tân Xã</x:v>
      </x:c>
      <x:c r="D26" s="69" t="str">
        <x:v>Phòng trọ cơ bản</x:v>
      </x:c>
      <x:c r="E26" s="70" t="n">
        <x:v>3.5</x:v>
      </x:c>
      <x:c r="F26" s="70" t="n">
        <x:v>2.2</x:v>
      </x:c>
      <x:c r="G26" s="71" t="n">
        <x:f>E26-'UocLuongOLS'!$B$6</x:f>
        <x:v>-0.9271186440677974</x:v>
      </x:c>
      <x:c r="H26" s="71" t="n">
        <x:f>F26-'UocLuongOLS'!$B$7</x:f>
        <x:v>0.2135593220338976</x:v>
      </x:c>
      <x:c r="I26" s="71" t="n">
        <x:f>G26*H26</x:f>
        <x:v>-0.19799482907210525</x:v>
      </x:c>
      <x:c r="J26" s="71" t="n">
        <x:f>G26^2</x:f>
        <x:v>0.8595489801781112</x:v>
      </x:c>
      <x:c r="K26" s="71" t="n">
        <x:f>'UocLuongOLS'!$B$14+'UocLuongOLS'!$B$13*E26</x:f>
        <x:v>2.1214755592320933</x:v>
      </x:c>
      <x:c r="L26" s="71" t="n">
        <x:f>F26-K26</x:f>
        <x:v>0.07852444076790688</x:v>
      </x:c>
      <x:c r="M26" s="71" t="n">
        <x:f>L26^2</x:f>
        <x:v>0.006166087797912515</x:v>
      </x:c>
      <x:c r="N26" s="71" t="n">
        <x:f>H26^2</x:f>
        <x:v>0.04560758402757798</x:v>
      </x:c>
    </x:row>
    <x:row r="27">
      <x:c r="A27" s="69" t="n">
        <x:v>26</x:v>
      </x:c>
      <x:c r="B27" s="69" t="str">
        <x:v>HS219529</x:v>
      </x:c>
      <x:c r="C27" s="69" t="str">
        <x:v>Thạch Hòa</x:v>
      </x:c>
      <x:c r="D27" s="69" t="str">
        <x:v>Phòng trọ cơ bản</x:v>
      </x:c>
      <x:c r="E27" s="70" t="n">
        <x:v>3.6</x:v>
      </x:c>
      <x:c r="F27" s="70" t="n">
        <x:v>2</x:v>
      </x:c>
      <x:c r="G27" s="71" t="n">
        <x:f>E27-'UocLuongOLS'!$B$6</x:f>
        <x:v>-0.8271186440677973</x:v>
      </x:c>
      <x:c r="H27" s="71" t="n">
        <x:f>F27-'UocLuongOLS'!$B$7</x:f>
        <x:v>0.013559322033897425</x:v>
      </x:c>
      <x:c r="I27" s="71" t="n">
        <x:f>G27*H27</x:f>
        <x:v>-0.011215168055155846</x:v>
      </x:c>
      <x:c r="J27" s="71" t="n">
        <x:f>G27^2</x:f>
        <x:v>0.6841252513645516</x:v>
      </x:c>
      <x:c r="K27" s="71" t="n">
        <x:f>'UocLuongOLS'!$B$14+'UocLuongOLS'!$B$13*E27</x:f>
        <x:v>2.106910553757334</x:v>
      </x:c>
      <x:c r="L27" s="71" t="n">
        <x:f>F27-K27</x:f>
        <x:v>-0.10691055375733383</x:v>
      </x:c>
      <x:c r="M27" s="71" t="n">
        <x:f>L27^2</x:f>
        <x:v>0.011429866504699767</x:v>
      </x:c>
      <x:c r="N27" s="71" t="n">
        <x:f>H27^2</x:f>
        <x:v>0.00018385521401893622</x:v>
      </x:c>
    </x:row>
    <x:row r="28">
      <x:c r="A28" s="69" t="n">
        <x:v>27</x:v>
      </x:c>
      <x:c r="B28" s="69" t="str">
        <x:v>HA186500</x:v>
      </x:c>
      <x:c r="C28" s="69" t="str">
        <x:v>Thạch Hòa</x:v>
      </x:c>
      <x:c r="D28" s="69" t="str">
        <x:v>Chung cư mini</x:v>
      </x:c>
      <x:c r="E28" s="70" t="n">
        <x:v>3.8</x:v>
      </x:c>
      <x:c r="F28" s="70" t="n">
        <x:v>2.9</x:v>
      </x:c>
      <x:c r="G28" s="71" t="n">
        <x:f>E28-'UocLuongOLS'!$B$6</x:f>
        <x:v>-0.6271186440677976</x:v>
      </x:c>
      <x:c r="H28" s="71" t="n">
        <x:f>F28-'UocLuongOLS'!$B$7</x:f>
        <x:v>0.9135593220338973</x:v>
      </x:c>
      <x:c r="I28" s="71" t="n">
        <x:f>G28*H28</x:f>
        <x:v>-0.5729100833093942</x:v>
      </x:c>
      <x:c r="J28" s="71" t="n">
        <x:f>G28^2</x:f>
        <x:v>0.39327779373743305</x:v>
      </x:c>
      <x:c r="K28" s="71" t="n">
        <x:f>'UocLuongOLS'!$B$14+'UocLuongOLS'!$B$13*E28</x:f>
        <x:v>2.077780542807815</x:v>
      </x:c>
      <x:c r="L28" s="71" t="n">
        <x:f>F28-K28</x:f>
        <x:v>0.822219457192185</x:v>
      </x:c>
      <x:c r="M28" s="71" t="n">
        <x:f>L28^2</x:f>
        <x:v>0.6760448357854114</x:v>
      </x:c>
      <x:c r="N28" s="71" t="n">
        <x:f>H28^2</x:f>
        <x:v>0.8345906348750342</x:v>
      </x:c>
    </x:row>
    <x:row r="29">
      <x:c r="A29" s="69" t="n">
        <x:v>28</x:v>
      </x:c>
      <x:c r="B29" s="69" t="str">
        <x:v>HS213623</x:v>
      </x:c>
      <x:c r="C29" s="69" t="str">
        <x:v>Tân Xã</x:v>
      </x:c>
      <x:c r="D29" s="69" t="str">
        <x:v>Phòng trọ cơ bản</x:v>
      </x:c>
      <x:c r="E29" s="70" t="n">
        <x:v>3.9</x:v>
      </x:c>
      <x:c r="F29" s="70" t="n">
        <x:v>2</x:v>
      </x:c>
      <x:c r="G29" s="71" t="n">
        <x:f>E29-'UocLuongOLS'!$B$6</x:f>
        <x:v>-0.5271186440677975</x:v>
      </x:c>
      <x:c r="H29" s="71" t="n">
        <x:f>F29-'UocLuongOLS'!$B$7</x:f>
        <x:v>0.013559322033897425</x:v>
      </x:c>
      <x:c r="I29" s="71" t="n">
        <x:f>G29*H29</x:f>
        <x:v>-0.007147371444986621</x:v>
      </x:c>
      <x:c r="J29" s="71" t="n">
        <x:f>G29^2</x:f>
        <x:v>0.2778540649238734</x:v>
      </x:c>
      <x:c r="K29" s="71" t="n">
        <x:f>'UocLuongOLS'!$B$14+'UocLuongOLS'!$B$13*E29</x:f>
        <x:v>2.0632155373330554</x:v>
      </x:c>
      <x:c r="L29" s="71" t="n">
        <x:f>F29-K29</x:f>
        <x:v>-0.0632155373330554</x:v>
      </x:c>
      <x:c r="M29" s="71" t="n">
        <x:f>L29^2</x:f>
        <x:v>0.003996204160306922</x:v>
      </x:c>
      <x:c r="N29" s="71" t="n">
        <x:f>H29^2</x:f>
        <x:v>0.00018385521401893622</x:v>
      </x:c>
    </x:row>
    <x:row r="30">
      <x:c r="A30" s="69" t="n">
        <x:v>29</x:v>
      </x:c>
      <x:c r="B30" s="69" t="str">
        <x:v>HS204692</x:v>
      </x:c>
      <x:c r="C30" s="69" t="str">
        <x:v>Thạch Hòa</x:v>
      </x:c>
      <x:c r="D30" s="69" t="str">
        <x:v>Phòng trọ cơ bản</x:v>
      </x:c>
      <x:c r="E30" s="70" t="n">
        <x:v>3.9</x:v>
      </x:c>
      <x:c r="F30" s="70" t="n">
        <x:v>1.9</x:v>
      </x:c>
      <x:c r="G30" s="71" t="n">
        <x:f>E30-'UocLuongOLS'!$B$6</x:f>
        <x:v>-0.5271186440677975</x:v>
      </x:c>
      <x:c r="H30" s="71" t="n">
        <x:f>F30-'UocLuongOLS'!$B$7</x:f>
        <x:v>-0.08644067796610266</x:v>
      </x:c>
      <x:c r="I30" s="71" t="n">
        <x:f>G30*H30</x:f>
        <x:v>0.04556449296179318</x:v>
      </x:c>
      <x:c r="J30" s="71" t="n">
        <x:f>G30^2</x:f>
        <x:v>0.2778540649238734</x:v>
      </x:c>
      <x:c r="K30" s="71" t="n">
        <x:f>'UocLuongOLS'!$B$14+'UocLuongOLS'!$B$13*E30</x:f>
        <x:v>2.0632155373330554</x:v>
      </x:c>
      <x:c r="L30" s="71" t="n">
        <x:f>F30-K30</x:f>
        <x:v>-0.1632155373330555</x:v>
      </x:c>
      <x:c r="M30" s="71" t="n">
        <x:f>L30^2</x:f>
        <x:v>0.02663931162691803</x:v>
      </x:c>
      <x:c r="N30" s="71" t="n">
        <x:f>H30^2</x:f>
        <x:v>0.007471990807239467</x:v>
      </x:c>
    </x:row>
    <x:row r="31">
      <x:c r="A31" s="69" t="n">
        <x:v>30</x:v>
      </x:c>
      <x:c r="B31" s="69" t="str">
        <x:v>HS192422</x:v>
      </x:c>
      <x:c r="C31" s="69" t="str">
        <x:v>Tân Xã</x:v>
      </x:c>
      <x:c r="D31" s="69" t="str">
        <x:v>Phòng trọ cơ bản</x:v>
      </x:c>
      <x:c r="E31" s="70" t="n">
        <x:v>4.1</x:v>
      </x:c>
      <x:c r="F31" s="70" t="n">
        <x:v>2</x:v>
      </x:c>
      <x:c r="G31" s="71" t="n">
        <x:f>E31-'UocLuongOLS'!$B$6</x:f>
        <x:v>-0.3271186440677978</x:v>
      </x:c>
      <x:c r="H31" s="71" t="n">
        <x:f>F31-'UocLuongOLS'!$B$7</x:f>
        <x:v>0.013559322033897425</x:v>
      </x:c>
      <x:c r="I31" s="71" t="n">
        <x:f>G31*H31</x:f>
        <x:v>-0.00443550703820714</x:v>
      </x:c>
      <x:c r="J31" s="71" t="n">
        <x:f>G31^2</x:f>
        <x:v>0.10700660729675457</x:v>
      </x:c>
      <x:c r="K31" s="71" t="n">
        <x:f>'UocLuongOLS'!$B$14+'UocLuongOLS'!$B$13*E31</x:f>
        <x:v>2.0340855263835365</x:v>
      </x:c>
      <x:c r="L31" s="71" t="n">
        <x:f>F31-K31</x:f>
        <x:v>-0.03408552638353646</x:v>
      </x:c>
      <x:c r="M31" s="71" t="n">
        <x:f>L31^2</x:f>
        <x:v>0.0011618231088427599</x:v>
      </x:c>
      <x:c r="N31" s="71" t="n">
        <x:f>H31^2</x:f>
        <x:v>0.00018385521401893622</x:v>
      </x:c>
    </x:row>
    <x:row r="32">
      <x:c r="A32" s="69" t="n">
        <x:v>31</x:v>
      </x:c>
      <x:c r="B32" s="69" t="str">
        <x:v>HA181029</x:v>
      </x:c>
      <x:c r="C32" s="69" t="str">
        <x:v>Tân Xã</x:v>
      </x:c>
      <x:c r="D32" s="69" t="str">
        <x:v>Phòng trọ cơ bản</x:v>
      </x:c>
      <x:c r="E32" s="70" t="n">
        <x:v>4.2</x:v>
      </x:c>
      <x:c r="F32" s="70" t="n">
        <x:v>2.1</x:v>
      </x:c>
      <x:c r="G32" s="71" t="n">
        <x:f>E32-'UocLuongOLS'!$B$6</x:f>
        <x:v>-0.22711864406779725</x:v>
      </x:c>
      <x:c r="H32" s="71" t="n">
        <x:f>F32-'UocLuongOLS'!$B$7</x:f>
        <x:v>0.11355932203389751</x:v>
      </x:c>
      <x:c r="I32" s="71" t="n">
        <x:f>G32*H32</x:f>
        <x:v>-0.025791439241597134</x:v>
      </x:c>
      <x:c r="J32" s="71" t="n">
        <x:f>G32^2</x:f>
        <x:v>0.051582878483194775</x:v>
      </x:c>
      <x:c r="K32" s="71" t="n">
        <x:f>'UocLuongOLS'!$B$14+'UocLuongOLS'!$B$13*E32</x:f>
        <x:v>2.019520520908777</x:v>
      </x:c>
      <x:c r="L32" s="71" t="n">
        <x:f>F32-K32</x:f>
        <x:v>0.0804794790912231</x:v>
      </x:c>
      <x:c r="M32" s="71" t="n">
        <x:f>L32^2</x:f>
        <x:v>0.006476946554794617</x:v>
      </x:c>
      <x:c r="N32" s="71" t="n">
        <x:f>H32^2</x:f>
        <x:v>0.012895719620798442</x:v>
      </x:c>
    </x:row>
    <x:row r="33">
      <x:c r="A33" s="69" t="n">
        <x:v>32</x:v>
      </x:c>
      <x:c r="B33" s="69" t="str">
        <x:v>HE201633</x:v>
      </x:c>
      <x:c r="C33" s="69" t="str">
        <x:v>Thạch Hòa</x:v>
      </x:c>
      <x:c r="D33" s="69" t="str">
        <x:v>Chung cư mini</x:v>
      </x:c>
      <x:c r="E33" s="70" t="n">
        <x:v>4.2</x:v>
      </x:c>
      <x:c r="F33" s="70" t="n">
        <x:v>2.8</x:v>
      </x:c>
      <x:c r="G33" s="71" t="n">
        <x:f>E33-'UocLuongOLS'!$B$6</x:f>
        <x:v>-0.22711864406779725</x:v>
      </x:c>
      <x:c r="H33" s="71" t="n">
        <x:f>F33-'UocLuongOLS'!$B$7</x:f>
        <x:v>0.8135593220338972</x:v>
      </x:c>
      <x:c r="I33" s="71" t="n">
        <x:f>G33*H33</x:f>
        <x:v>-0.18477449008905514</x:v>
      </x:c>
      <x:c r="J33" s="71" t="n">
        <x:f>G33^2</x:f>
        <x:v>0.051582878483194775</x:v>
      </x:c>
      <x:c r="K33" s="71" t="n">
        <x:f>'UocLuongOLS'!$B$14+'UocLuongOLS'!$B$13*E33</x:f>
        <x:v>2.019520520908777</x:v>
      </x:c>
      <x:c r="L33" s="71" t="n">
        <x:f>F33-K33</x:f>
        <x:v>0.7804794790912228</x:v>
      </x:c>
      <x:c r="M33" s="71" t="n">
        <x:f>L33^2</x:f>
        <x:v>0.6091482172825066</x:v>
      </x:c>
      <x:c r="N33" s="71" t="n">
        <x:f>H33^2</x:f>
        <x:v>0.6618787704682545</x:v>
      </x:c>
    </x:row>
    <x:row r="34">
      <x:c r="A34" s="69" t="n">
        <x:v>33</x:v>
      </x:c>
      <x:c r="B34" s="69" t="str">
        <x:v>HC210076</x:v>
      </x:c>
      <x:c r="C34" s="69" t="str">
        <x:v>Thạch Hòa</x:v>
      </x:c>
      <x:c r="D34" s="69" t="str">
        <x:v>Phòng trọ cơ bản</x:v>
      </x:c>
      <x:c r="E34" s="70" t="n">
        <x:v>4.2</x:v>
      </x:c>
      <x:c r="F34" s="70" t="n">
        <x:v>1.8</x:v>
      </x:c>
      <x:c r="G34" s="71" t="n">
        <x:f>E34-'UocLuongOLS'!$B$6</x:f>
        <x:v>-0.22711864406779725</x:v>
      </x:c>
      <x:c r="H34" s="71" t="n">
        <x:f>F34-'UocLuongOLS'!$B$7</x:f>
        <x:v>-0.18644067796610253</x:v>
      </x:c>
      <x:c r="I34" s="71" t="n">
        <x:f>G34*H34</x:f>
        <x:v>0.04234415397874205</x:v>
      </x:c>
      <x:c r="J34" s="71" t="n">
        <x:f>G34^2</x:f>
        <x:v>0.051582878483194775</x:v>
      </x:c>
      <x:c r="K34" s="71" t="n">
        <x:f>'UocLuongOLS'!$B$14+'UocLuongOLS'!$B$13*E34</x:f>
        <x:v>2.019520520908777</x:v>
      </x:c>
      <x:c r="L34" s="71" t="n">
        <x:f>F34-K34</x:f>
        <x:v>-0.21952052090877694</x:v>
      </x:c>
      <x:c r="M34" s="71" t="n">
        <x:f>L34^2</x:f>
        <x:v>0.04818925910006077</x:v>
      </x:c>
      <x:c r="N34" s="71" t="n">
        <x:f>H34^2</x:f>
        <x:v>0.03476012640045995</x:v>
      </x:c>
    </x:row>
    <x:row r="35">
      <x:c r="A35" s="69" t="n">
        <x:v>34</x:v>
      </x:c>
      <x:c r="B35" s="69" t="str">
        <x:v>HS191543</x:v>
      </x:c>
      <x:c r="C35" s="69" t="str">
        <x:v>Thạch Hòa</x:v>
      </x:c>
      <x:c r="D35" s="69" t="str">
        <x:v>Phòng trọ cơ bản</x:v>
      </x:c>
      <x:c r="E35" s="70" t="n">
        <x:v>4.5</x:v>
      </x:c>
      <x:c r="F35" s="70" t="n">
        <x:v>1.9</x:v>
      </x:c>
      <x:c r="G35" s="71" t="n">
        <x:f>E35-'UocLuongOLS'!$B$6</x:f>
        <x:v>0.07288135593220257</x:v>
      </x:c>
      <x:c r="H35" s="71" t="n">
        <x:f>F35-'UocLuongOLS'!$B$7</x:f>
        <x:v>-0.08644067796610266</x:v>
      </x:c>
      <x:c r="I35" s="71" t="n">
        <x:f>G35*H35</x:f>
        <x:v>-0.006299913817868429</x:v>
      </x:c>
      <x:c r="J35" s="71" t="n">
        <x:f>G35^2</x:f>
        <x:v>0.005311692042516399</x:v>
      </x:c>
      <x:c r="K35" s="71" t="n">
        <x:f>'UocLuongOLS'!$B$14+'UocLuongOLS'!$B$13*E35</x:f>
        <x:v>1.9758255044844986</x:v>
      </x:c>
      <x:c r="L35" s="71" t="n">
        <x:f>F35-K35</x:f>
        <x:v>-0.07582550448449865</x:v>
      </x:c>
      <x:c r="M35" s="71" t="n">
        <x:f>L35^2</x:f>
        <x:v>0.005749507130328725</x:v>
      </x:c>
      <x:c r="N35" s="71" t="n">
        <x:f>H35^2</x:f>
        <x:v>0.007471990807239467</x:v>
      </x:c>
    </x:row>
    <x:row r="36">
      <x:c r="A36" s="69" t="n">
        <x:v>35</x:v>
      </x:c>
      <x:c r="B36" s="69" t="str">
        <x:v>HE213512</x:v>
      </x:c>
      <x:c r="C36" s="69" t="str">
        <x:v>Thạch Hòa</x:v>
      </x:c>
      <x:c r="D36" s="69" t="str">
        <x:v>Phòng trọ cơ bản</x:v>
      </x:c>
      <x:c r="E36" s="70" t="n">
        <x:v>4.5</x:v>
      </x:c>
      <x:c r="F36" s="70" t="n">
        <x:v>2</x:v>
      </x:c>
      <x:c r="G36" s="71" t="n">
        <x:f>E36-'UocLuongOLS'!$B$6</x:f>
        <x:v>0.07288135593220257</x:v>
      </x:c>
      <x:c r="H36" s="71" t="n">
        <x:f>F36-'UocLuongOLS'!$B$7</x:f>
        <x:v>0.013559322033897425</x:v>
      </x:c>
      <x:c r="I36" s="71" t="n">
        <x:f>G36*H36</x:f>
        <x:v>0.000988221775351835</x:v>
      </x:c>
      <x:c r="J36" s="71" t="n">
        <x:f>G36^2</x:f>
        <x:v>0.005311692042516399</x:v>
      </x:c>
      <x:c r="K36" s="71" t="n">
        <x:f>'UocLuongOLS'!$B$14+'UocLuongOLS'!$B$13*E36</x:f>
        <x:v>1.9758255044844986</x:v>
      </x:c>
      <x:c r="L36" s="71" t="n">
        <x:f>F36-K36</x:f>
        <x:v>0.024174495515501437</x:v>
      </x:c>
      <x:c r="M36" s="71" t="n">
        <x:f>L36^2</x:f>
        <x:v>0.0005844062334289991</x:v>
      </x:c>
      <x:c r="N36" s="71" t="n">
        <x:f>H36^2</x:f>
        <x:v>0.00018385521401893622</x:v>
      </x:c>
    </x:row>
    <x:row r="37">
      <x:c r="A37" s="69" t="n">
        <x:v>36</x:v>
      </x:c>
      <x:c r="B37" s="69" t="str">
        <x:v>HS204920</x:v>
      </x:c>
      <x:c r="C37" s="69" t="str">
        <x:v>Thạch Hòa</x:v>
      </x:c>
      <x:c r="D37" s="69" t="str">
        <x:v>Phòng trọ cơ bản</x:v>
      </x:c>
      <x:c r="E37" s="70" t="n">
        <x:v>4.6</x:v>
      </x:c>
      <x:c r="F37" s="70" t="n">
        <x:v>1.8</x:v>
      </x:c>
      <x:c r="G37" s="71" t="n">
        <x:f>E37-'UocLuongOLS'!$B$6</x:f>
        <x:v>0.17288135593220222</x:v>
      </x:c>
      <x:c r="H37" s="71" t="n">
        <x:f>F37-'UocLuongOLS'!$B$7</x:f>
        <x:v>-0.18644067796610253</x:v>
      </x:c>
      <x:c r="I37" s="71" t="n">
        <x:f>G37*H37</x:f>
        <x:v>-0.03223211720769886</x:v>
      </x:c>
      <x:c r="J37" s="71" t="n">
        <x:f>G37^2</x:f>
        <x:v>0.02988796322895679</x:v>
      </x:c>
      <x:c r="K37" s="71" t="n">
        <x:f>'UocLuongOLS'!$B$14+'UocLuongOLS'!$B$13*E37</x:f>
        <x:v>1.961260499009739</x:v>
      </x:c>
      <x:c r="L37" s="71" t="n">
        <x:f>F37-K37</x:f>
        <x:v>-0.16126049900973904</x:v>
      </x:c>
      <x:c r="M37" s="71" t="n">
        <x:f>L37^2</x:f>
        <x:v>0.026004948540870047</x:v>
      </x:c>
      <x:c r="N37" s="71" t="n">
        <x:f>H37^2</x:f>
        <x:v>0.03476012640045995</x:v>
      </x:c>
    </x:row>
    <x:row r="38">
      <x:c r="A38" s="69" t="n">
        <x:v>37</x:v>
      </x:c>
      <x:c r="B38" s="69" t="str">
        <x:v>HS184423</x:v>
      </x:c>
      <x:c r="C38" s="69" t="str">
        <x:v>Hòa Lạc</x:v>
      </x:c>
      <x:c r="D38" s="69" t="str">
        <x:v>Phòng khép kín</x:v>
      </x:c>
      <x:c r="E38" s="70" t="n">
        <x:v>4.7</x:v>
      </x:c>
      <x:c r="F38" s="70" t="n">
        <x:v>1.9</x:v>
      </x:c>
      <x:c r="G38" s="71" t="n">
        <x:f>E38-'UocLuongOLS'!$B$6</x:f>
        <x:v>0.27288135593220275</x:v>
      </x:c>
      <x:c r="H38" s="71" t="n">
        <x:f>F38-'UocLuongOLS'!$B$7</x:f>
        <x:v>-0.08644067796610266</x:v>
      </x:c>
      <x:c r="I38" s="71" t="n">
        <x:f>G38*H38</x:f>
        <x:v>-0.023588049411088975</x:v>
      </x:c>
      <x:c r="J38" s="71" t="n">
        <x:f>G38^2</x:f>
        <x:v>0.07446423441539753</x:v>
      </x:c>
      <x:c r="K38" s="71" t="n">
        <x:f>'UocLuongOLS'!$B$14+'UocLuongOLS'!$B$13*E38</x:f>
        <x:v>1.9466954935349796</x:v>
      </x:c>
      <x:c r="L38" s="71" t="n">
        <x:f>F38-K38</x:f>
        <x:v>-0.046695493534979704</x:v>
      </x:c>
      <x:c r="M38" s="71" t="n">
        <x:f>L38^2</x:f>
        <x:v>0.0021804691164753315</x:v>
      </x:c>
      <x:c r="N38" s="71" t="n">
        <x:f>H38^2</x:f>
        <x:v>0.007471990807239467</x:v>
      </x:c>
    </x:row>
    <x:row r="39">
      <x:c r="A39" s="69" t="n">
        <x:v>38</x:v>
      </x:c>
      <x:c r="B39" s="69" t="str">
        <x:v>HA198859</x:v>
      </x:c>
      <x:c r="C39" s="69" t="str">
        <x:v>Hòa Lạc</x:v>
      </x:c>
      <x:c r="D39" s="69" t="str">
        <x:v>Phòng khép kín</x:v>
      </x:c>
      <x:c r="E39" s="70" t="n">
        <x:v>4.8</x:v>
      </x:c>
      <x:c r="F39" s="70" t="n">
        <x:v>2</x:v>
      </x:c>
      <x:c r="G39" s="71" t="n">
        <x:f>E39-'UocLuongOLS'!$B$6</x:f>
        <x:v>0.3728813559322024</x:v>
      </x:c>
      <x:c r="H39" s="71" t="n">
        <x:f>F39-'UocLuongOLS'!$B$7</x:f>
        <x:v>0.013559322033897425</x:v>
      </x:c>
      <x:c r="I39" s="71" t="n">
        <x:f>G39*H39</x:f>
        <x:v>0.00505601838552106</x:v>
      </x:c>
      <x:c r="J39" s="71" t="n">
        <x:f>G39^2</x:f>
        <x:v>0.1390405056018378</x:v>
      </x:c>
      <x:c r="K39" s="71" t="n">
        <x:f>'UocLuongOLS'!$B$14+'UocLuongOLS'!$B$13*E39</x:f>
        <x:v>1.9321304880602201</x:v>
      </x:c>
      <x:c r="L39" s="71" t="n">
        <x:f>F39-K39</x:f>
        <x:v>0.06786951193977986</x:v>
      </x:c>
      <x:c r="M39" s="71" t="n">
        <x:f>L39^2</x:f>
        <x:v>0.004606270650943921</x:v>
      </x:c>
      <x:c r="N39" s="71" t="n">
        <x:f>H39^2</x:f>
        <x:v>0.00018385521401893622</x:v>
      </x:c>
    </x:row>
    <x:row r="40">
      <x:c r="A40" s="69" t="n">
        <x:v>39</x:v>
      </x:c>
      <x:c r="B40" s="69" t="str">
        <x:v>HC181187</x:v>
      </x:c>
      <x:c r="C40" s="69" t="str">
        <x:v>Hòa Lạc</x:v>
      </x:c>
      <x:c r="D40" s="69" t="str">
        <x:v>Phòng khép kín</x:v>
      </x:c>
      <x:c r="E40" s="70" t="n">
        <x:v>5</x:v>
      </x:c>
      <x:c r="F40" s="70" t="n">
        <x:v>1.9</x:v>
      </x:c>
      <x:c r="G40" s="71" t="n">
        <x:f>E40-'UocLuongOLS'!$B$6</x:f>
        <x:v>0.5728813559322026</x:v>
      </x:c>
      <x:c r="H40" s="71" t="n">
        <x:f>F40-'UocLuongOLS'!$B$7</x:f>
        <x:v>-0.08644067796610266</x:v>
      </x:c>
      <x:c r="I40" s="71" t="n">
        <x:f>G40*H40</x:f>
        <x:v>-0.04952025280091976</x:v>
      </x:c>
      <x:c r="J40" s="71" t="n">
        <x:f>G40^2</x:f>
        <x:v>0.328193047974719</x:v>
      </x:c>
      <x:c r="K40" s="71" t="n">
        <x:f>'UocLuongOLS'!$B$14+'UocLuongOLS'!$B$13*E40</x:f>
        <x:v>1.9030004771107012</x:v>
      </x:c>
      <x:c r="L40" s="71" t="n">
        <x:f>F40-K40</x:f>
        <x:v>-0.003000477110701283</x:v>
      </x:c>
      <x:c r="M40" s="71" t="n">
        <x:f>L40^2</x:f>
        <x:v>0.00000900286289184232</x:v>
      </x:c>
      <x:c r="N40" s="71" t="n">
        <x:f>H40^2</x:f>
        <x:v>0.007471990807239467</x:v>
      </x:c>
    </x:row>
    <x:row r="41">
      <x:c r="A41" s="69" t="n">
        <x:v>40</x:v>
      </x:c>
      <x:c r="B41" s="69" t="str">
        <x:v>HE188388</x:v>
      </x:c>
      <x:c r="C41" s="69" t="str">
        <x:v>Hòa Lạc</x:v>
      </x:c>
      <x:c r="D41" s="69" t="str">
        <x:v>Phòng khép kín</x:v>
      </x:c>
      <x:c r="E41" s="70" t="n">
        <x:v>5.1</x:v>
      </x:c>
      <x:c r="F41" s="70" t="n">
        <x:v>1.9</x:v>
      </x:c>
      <x:c r="G41" s="71" t="n">
        <x:f>E41-'UocLuongOLS'!$B$6</x:f>
        <x:v>0.6728813559322022</x:v>
      </x:c>
      <x:c r="H41" s="71" t="n">
        <x:f>F41-'UocLuongOLS'!$B$7</x:f>
        <x:v>-0.08644067796610266</x:v>
      </x:c>
      <x:c r="I41" s="71" t="n">
        <x:f>G41*H41</x:f>
        <x:v>-0.058164320597529996</x:v>
      </x:c>
      <x:c r="J41" s="71" t="n">
        <x:f>G41^2</x:f>
        <x:v>0.45276931916115903</x:v>
      </x:c>
      <x:c r="K41" s="71" t="n">
        <x:f>'UocLuongOLS'!$B$14+'UocLuongOLS'!$B$13*E41</x:f>
        <x:v>1.8884354716359417</x:v>
      </x:c>
      <x:c r="L41" s="71" t="n">
        <x:f>F41-K41</x:f>
        <x:v>0.01156452836405819</x:v>
      </x:c>
      <x:c r="M41" s="71" t="n">
        <x:f>L41^2</x:f>
        <x:v>0.00013373831628310642</x:v>
      </x:c>
      <x:c r="N41" s="71" t="n">
        <x:f>H41^2</x:f>
        <x:v>0.007471990807239467</x:v>
      </x:c>
    </x:row>
    <x:row r="42">
      <x:c r="A42" s="69" t="n">
        <x:v>41</x:v>
      </x:c>
      <x:c r="B42" s="69" t="str">
        <x:v>HC201014</x:v>
      </x:c>
      <x:c r="C42" s="69" t="str">
        <x:v>Hòa Lạc</x:v>
      </x:c>
      <x:c r="D42" s="69" t="str">
        <x:v>Phòng khép kín</x:v>
      </x:c>
      <x:c r="E42" s="70" t="n">
        <x:v>5.2</x:v>
      </x:c>
      <x:c r="F42" s="70" t="n">
        <x:v>1.9</x:v>
      </x:c>
      <x:c r="G42" s="71" t="n">
        <x:f>E42-'UocLuongOLS'!$B$6</x:f>
        <x:v>0.7728813559322028</x:v>
      </x:c>
      <x:c r="H42" s="71" t="n">
        <x:f>F42-'UocLuongOLS'!$B$7</x:f>
        <x:v>-0.08644067796610266</x:v>
      </x:c>
      <x:c r="I42" s="71" t="n">
        <x:f>G42*H42</x:f>
        <x:v>-0.06680838839414031</x:v>
      </x:c>
      <x:c r="J42" s="71" t="n">
        <x:f>G42^2</x:f>
        <x:v>0.5973455903476003</x:v>
      </x:c>
      <x:c r="K42" s="71" t="n">
        <x:f>'UocLuongOLS'!$B$14+'UocLuongOLS'!$B$13*E42</x:f>
        <x:v>1.873870466161182</x:v>
      </x:c>
      <x:c r="L42" s="71" t="n">
        <x:f>F42-K42</x:f>
        <x:v>0.026129533838817887</x:v>
      </x:c>
      <x:c r="M42" s="71" t="n">
        <x:f>L42^2</x:f>
        <x:v>0.000682752538633929</x:v>
      </x:c>
      <x:c r="N42" s="71" t="n">
        <x:f>H42^2</x:f>
        <x:v>0.007471990807239467</x:v>
      </x:c>
    </x:row>
    <x:row r="43">
      <x:c r="A43" s="69" t="n">
        <x:v>42</x:v>
      </x:c>
      <x:c r="B43" s="69" t="str">
        <x:v>HC186852</x:v>
      </x:c>
      <x:c r="C43" s="69" t="str">
        <x:v>Hòa Lạc</x:v>
      </x:c>
      <x:c r="D43" s="69" t="str">
        <x:v>Phòng khép kín</x:v>
      </x:c>
      <x:c r="E43" s="70" t="n">
        <x:v>5.5</x:v>
      </x:c>
      <x:c r="F43" s="70" t="n">
        <x:v>1.8</x:v>
      </x:c>
      <x:c r="G43" s="71" t="n">
        <x:f>E43-'UocLuongOLS'!$B$6</x:f>
        <x:v>1.0728813559322026</x:v>
      </x:c>
      <x:c r="H43" s="71" t="n">
        <x:f>F43-'UocLuongOLS'!$B$7</x:f>
        <x:v>-0.18644067796610253</x:v>
      </x:c>
      <x:c r="I43" s="71" t="n">
        <x:f>G43*H43</x:f>
        <x:v>-0.2000287273771912</x:v>
      </x:c>
      <x:c r="J43" s="71" t="n">
        <x:f>G43^2</x:f>
        <x:v>1.1510744039069216</x:v>
      </x:c>
      <x:c r="K43" s="71" t="n">
        <x:f>'UocLuongOLS'!$B$14+'UocLuongOLS'!$B$13*E43</x:f>
        <x:v>1.8301754497369038</x:v>
      </x:c>
      <x:c r="L43" s="71" t="n">
        <x:f>F43-K43</x:f>
        <x:v>-0.03017544973690378</x:v>
      </x:c>
      <x:c r="M43" s="71" t="n">
        <x:f>L43^2</x:f>
        <x:v>0.0009105577668244065</x:v>
      </x:c>
      <x:c r="N43" s="71" t="n">
        <x:f>H43^2</x:f>
        <x:v>0.03476012640045995</x:v>
      </x:c>
    </x:row>
    <x:row r="44">
      <x:c r="A44" s="69" t="n">
        <x:v>43</x:v>
      </x:c>
      <x:c r="B44" s="69" t="str">
        <x:v>HC185573</x:v>
      </x:c>
      <x:c r="C44" s="69" t="str">
        <x:v>Hòa Lạc</x:v>
      </x:c>
      <x:c r="D44" s="69" t="str">
        <x:v>Phòng khép kín</x:v>
      </x:c>
      <x:c r="E44" s="70" t="n">
        <x:v>5.6</x:v>
      </x:c>
      <x:c r="F44" s="70" t="n">
        <x:v>1.9</x:v>
      </x:c>
      <x:c r="G44" s="71" t="n">
        <x:f>E44-'UocLuongOLS'!$B$6</x:f>
        <x:v>1.1728813559322022</x:v>
      </x:c>
      <x:c r="H44" s="71" t="n">
        <x:f>F44-'UocLuongOLS'!$B$7</x:f>
        <x:v>-0.08644067796610266</x:v>
      </x:c>
      <x:c r="I44" s="71" t="n">
        <x:f>G44*H44</x:f>
        <x:v>-0.10138465958058132</x:v>
      </x:c>
      <x:c r="J44" s="71" t="n">
        <x:f>G44^2</x:f>
        <x:v>1.3756506750933613</x:v>
      </x:c>
      <x:c r="K44" s="71" t="n">
        <x:f>'UocLuongOLS'!$B$14+'UocLuongOLS'!$B$13*E44</x:f>
        <x:v>1.8156104442621444</x:v>
      </x:c>
      <x:c r="L44" s="71" t="n">
        <x:f>F44-K44</x:f>
        <x:v>0.08438955573785556</x:v>
      </x:c>
      <x:c r="M44" s="71" t="n">
        <x:f>L44^2</x:f>
        <x:v>0.0071215971176326305</x:v>
      </x:c>
      <x:c r="N44" s="71" t="n">
        <x:f>H44^2</x:f>
        <x:v>0.007471990807239467</x:v>
      </x:c>
    </x:row>
    <x:row r="45">
      <x:c r="A45" s="69" t="n">
        <x:v>44</x:v>
      </x:c>
      <x:c r="B45" s="69" t="str">
        <x:v>HS209180</x:v>
      </x:c>
      <x:c r="C45" s="69" t="str">
        <x:v>Hòa Lạc</x:v>
      </x:c>
      <x:c r="D45" s="69" t="str">
        <x:v>Phòng khép kín</x:v>
      </x:c>
      <x:c r="E45" s="70" t="n">
        <x:v>5.8</x:v>
      </x:c>
      <x:c r="F45" s="70" t="n">
        <x:v>1.7</x:v>
      </x:c>
      <x:c r="G45" s="71" t="n">
        <x:f>E45-'UocLuongOLS'!$B$6</x:f>
        <x:v>1.3728813559322024</x:v>
      </x:c>
      <x:c r="H45" s="71" t="n">
        <x:f>F45-'UocLuongOLS'!$B$7</x:f>
        <x:v>-0.2864406779661026</x:v>
      </x:c>
      <x:c r="I45" s="71" t="n">
        <x:f>G45*H45</x:f>
        <x:v>-0.3932490663602423</x:v>
      </x:c>
      <x:c r="J45" s="71" t="n">
        <x:f>G45^2</x:f>
        <x:v>1.8848032174662426</x:v>
      </x:c>
      <x:c r="K45" s="71" t="n">
        <x:f>'UocLuongOLS'!$B$14+'UocLuongOLS'!$B$13*E45</x:f>
        <x:v>1.7864804333126254</x:v>
      </x:c>
      <x:c r="L45" s="71" t="n">
        <x:f>F45-K45</x:f>
        <x:v>-0.08648043331262545</x:v>
      </x:c>
      <x:c r="M45" s="71" t="n">
        <x:f>L45^2</x:f>
        <x:v>0.007478865345939457</x:v>
      </x:c>
      <x:c r="N45" s="71" t="n">
        <x:f>H45^2</x:f>
        <x:v>0.08204826199368051</x:v>
      </x:c>
    </x:row>
    <x:row r="46">
      <x:c r="A46" s="69" t="n">
        <x:v>45</x:v>
      </x:c>
      <x:c r="B46" s="69" t="str">
        <x:v>HE180117</x:v>
      </x:c>
      <x:c r="C46" s="69" t="str">
        <x:v>Hòa Lạc</x:v>
      </x:c>
      <x:c r="D46" s="69" t="str">
        <x:v>Phòng khép kín</x:v>
      </x:c>
      <x:c r="E46" s="70" t="n">
        <x:v>6</x:v>
      </x:c>
      <x:c r="F46" s="70" t="n">
        <x:v>1.9</x:v>
      </x:c>
      <x:c r="G46" s="71" t="n">
        <x:f>E46-'UocLuongOLS'!$B$6</x:f>
        <x:v>1.5728813559322026</x:v>
      </x:c>
      <x:c r="H46" s="71" t="n">
        <x:f>F46-'UocLuongOLS'!$B$7</x:f>
        <x:v>-0.08644067796610266</x:v>
      </x:c>
      <x:c r="I46" s="71" t="n">
        <x:f>G46*H46</x:f>
        <x:v>-0.13596093076702243</x:v>
      </x:c>
      <x:c r="J46" s="71" t="n">
        <x:f>G46^2</x:f>
        <x:v>2.473955759839124</x:v>
      </x:c>
      <x:c r="K46" s="71" t="n">
        <x:f>'UocLuongOLS'!$B$14+'UocLuongOLS'!$B$13*E46</x:f>
        <x:v>1.7573504223631062</x:v>
      </x:c>
      <x:c r="L46" s="71" t="n">
        <x:f>F46-K46</x:f>
        <x:v>0.14264957763689368</x:v>
      </x:c>
      <x:c r="M46" s="71" t="n">
        <x:f>L46^2</x:f>
        <x:v>0.020348901999984157</x:v>
      </x:c>
      <x:c r="N46" s="71" t="n">
        <x:f>H46^2</x:f>
        <x:v>0.007471990807239467</x:v>
      </x:c>
    </x:row>
    <x:row r="47">
      <x:c r="A47" s="69" t="n">
        <x:v>46</x:v>
      </x:c>
      <x:c r="B47" s="69" t="str">
        <x:v>HC207439</x:v>
      </x:c>
      <x:c r="C47" s="69" t="str">
        <x:v>Hòa Lạc</x:v>
      </x:c>
      <x:c r="D47" s="69" t="str">
        <x:v>Phòng khép kín</x:v>
      </x:c>
      <x:c r="E47" s="70" t="n">
        <x:v>6.3</x:v>
      </x:c>
      <x:c r="F47" s="70" t="n">
        <x:v>1.5</x:v>
      </x:c>
      <x:c r="G47" s="71" t="n">
        <x:f>E47-'UocLuongOLS'!$B$6</x:f>
        <x:v>1.8728813559322024</x:v>
      </x:c>
      <x:c r="H47" s="71" t="n">
        <x:f>F47-'UocLuongOLS'!$B$7</x:f>
        <x:v>-0.4864406779661026</x:v>
      </x:c>
      <x:c r="I47" s="71" t="n">
        <x:f>G47*H47</x:f>
        <x:v>-0.911045676529734</x:v>
      </x:c>
      <x:c r="J47" s="71" t="n">
        <x:f>G47^2</x:f>
        <x:v>3.507684573398445</x:v>
      </x:c>
      <x:c r="K47" s="71" t="n">
        <x:f>'UocLuongOLS'!$B$14+'UocLuongOLS'!$B$13*E47</x:f>
        <x:v>1.713655405938828</x:v>
      </x:c>
      <x:c r="L47" s="71" t="n">
        <x:f>F47-K47</x:f>
        <x:v>-0.21365540593882804</x:v>
      </x:c>
      <x:c r="M47" s="71" t="n">
        <x:f>L47^2</x:f>
        <x:v>0.045648632486885395</x:v>
      </x:c>
      <x:c r="N47" s="71" t="n">
        <x:f>H47^2</x:f>
        <x:v>0.2366245331801215</x:v>
      </x:c>
    </x:row>
    <x:row r="48">
      <x:c r="A48" s="69" t="n">
        <x:v>47</x:v>
      </x:c>
      <x:c r="B48" s="69" t="str">
        <x:v>HE214000</x:v>
      </x:c>
      <x:c r="C48" s="69" t="str">
        <x:v>Hòa Lạc</x:v>
      </x:c>
      <x:c r="D48" s="69" t="str">
        <x:v>Phòng khép kín</x:v>
      </x:c>
      <x:c r="E48" s="70" t="n">
        <x:v>6.4</x:v>
      </x:c>
      <x:c r="F48" s="70" t="n">
        <x:v>1.7</x:v>
      </x:c>
      <x:c r="G48" s="71" t="n">
        <x:f>E48-'UocLuongOLS'!$B$6</x:f>
        <x:v>1.972881355932203</x:v>
      </x:c>
      <x:c r="H48" s="71" t="n">
        <x:f>F48-'UocLuongOLS'!$B$7</x:f>
        <x:v>-0.2864406779661026</x:v>
      </x:c>
      <x:c r="I48" s="71" t="n">
        <x:f>G48*H48</x:f>
        <x:v>-0.565113473139904</x:v>
      </x:c>
      <x:c r="J48" s="71" t="n">
        <x:f>G48^2</x:f>
        <x:v>3.8922608445848876</x:v>
      </x:c>
      <x:c r="K48" s="71" t="n">
        <x:f>'UocLuongOLS'!$B$14+'UocLuongOLS'!$B$13*E48</x:f>
        <x:v>1.6990904004640683</x:v>
      </x:c>
      <x:c r="L48" s="71" t="n">
        <x:f>F48-K48</x:f>
        <x:v>0.0009095995359316156</x:v>
      </x:c>
      <x:c r="M48" s="71" t="n">
        <x:f>L48^2</x:f>
        <x:v>8.273713157670104e-7</x:v>
      </x:c>
      <x:c r="N48" s="71" t="n">
        <x:f>H48^2</x:f>
        <x:v>0.08204826199368051</x:v>
      </x:c>
    </x:row>
    <x:row r="49">
      <x:c r="A49" s="69" t="n">
        <x:v>48</x:v>
      </x:c>
      <x:c r="B49" s="69" t="str">
        <x:v>HE199265</x:v>
      </x:c>
      <x:c r="C49" s="69" t="str">
        <x:v>Hòa Lạc</x:v>
      </x:c>
      <x:c r="D49" s="69" t="str">
        <x:v>Phòng khép kín</x:v>
      </x:c>
      <x:c r="E49" s="70" t="n">
        <x:v>6.5</x:v>
      </x:c>
      <x:c r="F49" s="70" t="n">
        <x:v>1.7</x:v>
      </x:c>
      <x:c r="G49" s="71" t="n">
        <x:f>E49-'UocLuongOLS'!$B$6</x:f>
        <x:v>2.0728813559322026</x:v>
      </x:c>
      <x:c r="H49" s="71" t="n">
        <x:f>F49-'UocLuongOLS'!$B$7</x:f>
        <x:v>-0.2864406779661026</x:v>
      </x:c>
      <x:c r="I49" s="71" t="n">
        <x:f>G49*H49</x:f>
        <x:v>-0.5937575409365142</x:v>
      </x:c>
      <x:c r="J49" s="71" t="n">
        <x:f>G49^2</x:f>
        <x:v>4.296837115771327</x:v>
      </x:c>
      <x:c r="K49" s="71" t="n">
        <x:f>'UocLuongOLS'!$B$14+'UocLuongOLS'!$B$13*E49</x:f>
        <x:v>1.6845253949893089</x:v>
      </x:c>
      <x:c r="L49" s="71" t="n">
        <x:f>F49-K49</x:f>
        <x:v>0.01547460501069109</x:v>
      </x:c>
      <x:c r="M49" s="71" t="n">
        <x:f>L49^2</x:f>
        <x:v>0.00023946340023690577</x:v>
      </x:c>
      <x:c r="N49" s="71" t="n">
        <x:f>H49^2</x:f>
        <x:v>0.08204826199368051</x:v>
      </x:c>
    </x:row>
    <x:row r="50">
      <x:c r="A50" s="69" t="n">
        <x:v>49</x:v>
      </x:c>
      <x:c r="B50" s="69" t="str">
        <x:v>HC196142</x:v>
      </x:c>
      <x:c r="C50" s="69" t="str">
        <x:v>Hòa Lạc</x:v>
      </x:c>
      <x:c r="D50" s="69" t="str">
        <x:v>Phòng khép kín</x:v>
      </x:c>
      <x:c r="E50" s="70" t="n">
        <x:v>6.6</x:v>
      </x:c>
      <x:c r="F50" s="70" t="n">
        <x:v>1.5</x:v>
      </x:c>
      <x:c r="G50" s="71" t="n">
        <x:f>E50-'UocLuongOLS'!$B$6</x:f>
        <x:v>2.172881355932202</x:v>
      </x:c>
      <x:c r="H50" s="71" t="n">
        <x:f>F50-'UocLuongOLS'!$B$7</x:f>
        <x:v>-0.4864406779661026</x:v>
      </x:c>
      <x:c r="I50" s="71" t="n">
        <x:f>G50*H50</x:f>
        <x:v>-1.0569778799195646</x:v>
      </x:c>
      <x:c r="J50" s="71" t="n">
        <x:f>G50^2</x:f>
        <x:v>4.7214133869577655</x:v>
      </x:c>
      <x:c r="K50" s="71" t="n">
        <x:f>'UocLuongOLS'!$B$14+'UocLuongOLS'!$B$13*E50</x:f>
        <x:v>1.6699603895145496</x:v>
      </x:c>
      <x:c r="L50" s="71" t="n">
        <x:f>F50-K50</x:f>
        <x:v>-0.16996038951454961</x:v>
      </x:c>
      <x:c r="M50" s="71" t="n">
        <x:f>L50^2</x:f>
        <x:v>0.028886534003937425</x:v>
      </x:c>
      <x:c r="N50" s="71" t="n">
        <x:f>H50^2</x:f>
        <x:v>0.2366245331801215</x:v>
      </x:c>
    </x:row>
    <x:row r="51">
      <x:c r="A51" s="69" t="n">
        <x:v>50</x:v>
      </x:c>
      <x:c r="B51" s="69" t="str">
        <x:v>HC213884</x:v>
      </x:c>
      <x:c r="C51" s="69" t="str">
        <x:v>Hòa Lạc</x:v>
      </x:c>
      <x:c r="D51" s="69" t="str">
        <x:v>Phòng khép kín</x:v>
      </x:c>
      <x:c r="E51" s="70" t="n">
        <x:v>6.8</x:v>
      </x:c>
      <x:c r="F51" s="70" t="n">
        <x:v>1.6</x:v>
      </x:c>
      <x:c r="G51" s="71" t="n">
        <x:f>E51-'UocLuongOLS'!$B$6</x:f>
        <x:v>2.3728813559322024</x:v>
      </x:c>
      <x:c r="H51" s="71" t="n">
        <x:f>F51-'UocLuongOLS'!$B$7</x:f>
        <x:v>-0.3864406779661025</x:v>
      </x:c>
      <x:c r="I51" s="71" t="n">
        <x:f>G51*H51</x:f>
        <x:v>-0.9169778799195648</x:v>
      </x:c>
      <x:c r="J51" s="71" t="n">
        <x:f>G51^2</x:f>
        <x:v>5.630565929330648</x:v>
      </x:c>
      <x:c r="K51" s="71" t="n">
        <x:f>'UocLuongOLS'!$B$14+'UocLuongOLS'!$B$13*E51</x:f>
        <x:v>1.6408303785650307</x:v>
      </x:c>
      <x:c r="L51" s="71" t="n">
        <x:f>F51-K51</x:f>
        <x:v>-0.04083037856503058</x:v>
      </x:c>
      <x:c r="M51" s="71" t="n">
        <x:f>L51^2</x:f>
        <x:v>0.0016671198137637084</x:v>
      </x:c>
      <x:c r="N51" s="71" t="n">
        <x:f>H51^2</x:f>
        <x:v>0.14933639758690093</x:v>
      </x:c>
    </x:row>
    <x:row r="52">
      <x:c r="A52" s="69" t="n">
        <x:v>51</x:v>
      </x:c>
      <x:c r="B52" s="69" t="str">
        <x:v>HS213758</x:v>
      </x:c>
      <x:c r="C52" s="69" t="str">
        <x:v>Hòa Lạc</x:v>
      </x:c>
      <x:c r="D52" s="69" t="str">
        <x:v>Phòng khép kín</x:v>
      </x:c>
      <x:c r="E52" s="70" t="n">
        <x:v>6.9</x:v>
      </x:c>
      <x:c r="F52" s="70" t="n">
        <x:v>1.5</x:v>
      </x:c>
      <x:c r="G52" s="71" t="n">
        <x:f>E52-'UocLuongOLS'!$B$6</x:f>
        <x:v>2.472881355932203</x:v>
      </x:c>
      <x:c r="H52" s="71" t="n">
        <x:f>F52-'UocLuongOLS'!$B$7</x:f>
        <x:v>-0.4864406779661026</x:v>
      </x:c>
      <x:c r="I52" s="71" t="n">
        <x:f>G52*H52</x:f>
        <x:v>-1.2029100833093958</x:v>
      </x:c>
      <x:c r="J52" s="71" t="n">
        <x:f>G52^2</x:f>
        <x:v>6.115142200517091</x:v>
      </x:c>
      <x:c r="K52" s="71" t="n">
        <x:f>'UocLuongOLS'!$B$14+'UocLuongOLS'!$B$13*E52</x:f>
        <x:v>1.626265373090271</x:v>
      </x:c>
      <x:c r="L52" s="71" t="n">
        <x:f>F52-K52</x:f>
        <x:v>-0.12626537309027097</x:v>
      </x:c>
      <x:c r="M52" s="71" t="n">
        <x:f>L52^2</x:f>
        <x:v>0.015942944441625324</x:v>
      </x:c>
      <x:c r="N52" s="71" t="n">
        <x:f>H52^2</x:f>
        <x:v>0.2366245331801215</x:v>
      </x:c>
    </x:row>
    <x:row r="53">
      <x:c r="A53" s="69" t="n">
        <x:v>52</x:v>
      </x:c>
      <x:c r="B53" s="69" t="str">
        <x:v>HC203518</x:v>
      </x:c>
      <x:c r="C53" s="69" t="str">
        <x:v>Hòa Lạc</x:v>
      </x:c>
      <x:c r="D53" s="69" t="str">
        <x:v>Phòng khép kín</x:v>
      </x:c>
      <x:c r="E53" s="70" t="n">
        <x:v>7</x:v>
      </x:c>
      <x:c r="F53" s="70" t="n">
        <x:v>1.5</x:v>
      </x:c>
      <x:c r="G53" s="71" t="n">
        <x:f>E53-'UocLuongOLS'!$B$6</x:f>
        <x:v>2.5728813559322026</x:v>
      </x:c>
      <x:c r="H53" s="71" t="n">
        <x:f>F53-'UocLuongOLS'!$B$7</x:f>
        <x:v>-0.4864406779661026</x:v>
      </x:c>
      <x:c r="I53" s="71" t="n">
        <x:f>G53*H53</x:f>
        <x:v>-1.251554151106006</x:v>
      </x:c>
      <x:c r="J53" s="71" t="n">
        <x:f>G53^2</x:f>
        <x:v>6.619718471703529</x:v>
      </x:c>
      <x:c r="K53" s="71" t="n">
        <x:f>'UocLuongOLS'!$B$14+'UocLuongOLS'!$B$13*E53</x:f>
        <x:v>1.6117003676155115</x:v>
      </x:c>
      <x:c r="L53" s="71" t="n">
        <x:f>F53-K53</x:f>
        <x:v>-0.1117003676155115</x:v>
      </x:c>
      <x:c r="M53" s="71" t="n">
        <x:f>L53^2</x:f>
        <x:v>0.01247697212544041</x:v>
      </x:c>
      <x:c r="N53" s="71" t="n">
        <x:f>H53^2</x:f>
        <x:v>0.2366245331801215</x:v>
      </x:c>
    </x:row>
    <x:row r="54">
      <x:c r="A54" s="69" t="n">
        <x:v>53</x:v>
      </x:c>
      <x:c r="B54" s="69" t="str">
        <x:v>HC219113</x:v>
      </x:c>
      <x:c r="C54" s="69" t="str">
        <x:v>Hòa Lạc</x:v>
      </x:c>
      <x:c r="D54" s="69" t="str">
        <x:v>Phòng khép kín</x:v>
      </x:c>
      <x:c r="E54" s="70" t="n">
        <x:v>7</x:v>
      </x:c>
      <x:c r="F54" s="70" t="n">
        <x:v>1.5</x:v>
      </x:c>
      <x:c r="G54" s="71" t="n">
        <x:f>E54-'UocLuongOLS'!$B$6</x:f>
        <x:v>2.5728813559322026</x:v>
      </x:c>
      <x:c r="H54" s="71" t="n">
        <x:f>F54-'UocLuongOLS'!$B$7</x:f>
        <x:v>-0.4864406779661026</x:v>
      </x:c>
      <x:c r="I54" s="71" t="n">
        <x:f>G54*H54</x:f>
        <x:v>-1.251554151106006</x:v>
      </x:c>
      <x:c r="J54" s="71" t="n">
        <x:f>G54^2</x:f>
        <x:v>6.619718471703529</x:v>
      </x:c>
      <x:c r="K54" s="71" t="n">
        <x:f>'UocLuongOLS'!$B$14+'UocLuongOLS'!$B$13*E54</x:f>
        <x:v>1.6117003676155115</x:v>
      </x:c>
      <x:c r="L54" s="71" t="n">
        <x:f>F54-K54</x:f>
        <x:v>-0.1117003676155115</x:v>
      </x:c>
      <x:c r="M54" s="71" t="n">
        <x:f>L54^2</x:f>
        <x:v>0.01247697212544041</x:v>
      </x:c>
      <x:c r="N54" s="71" t="n">
        <x:f>H54^2</x:f>
        <x:v>0.2366245331801215</x:v>
      </x:c>
    </x:row>
    <x:row r="55">
      <x:c r="A55" s="69" t="n">
        <x:v>54</x:v>
      </x:c>
      <x:c r="B55" s="69" t="str">
        <x:v>HS200572</x:v>
      </x:c>
      <x:c r="C55" s="69" t="str">
        <x:v>Hòa Lạc</x:v>
      </x:c>
      <x:c r="D55" s="69" t="str">
        <x:v>Phòng khép kín</x:v>
      </x:c>
      <x:c r="E55" s="70" t="n">
        <x:v>7.1</x:v>
      </x:c>
      <x:c r="F55" s="70" t="n">
        <x:v>1.4</x:v>
      </x:c>
      <x:c r="G55" s="71" t="n">
        <x:f>E55-'UocLuongOLS'!$B$6</x:f>
        <x:v>2.672881355932202</x:v>
      </x:c>
      <x:c r="H55" s="71" t="n">
        <x:f>F55-'UocLuongOLS'!$B$7</x:f>
        <x:v>-0.5864406779661027</x:v>
      </x:c>
      <x:c r="I55" s="71" t="n">
        <x:f>G55*H55</x:f>
        <x:v>-1.5674863544958364</x:v>
      </x:c>
      <x:c r="J55" s="71" t="n">
        <x:f>G55^2</x:f>
        <x:v>7.144294742889968</x:v>
      </x:c>
      <x:c r="K55" s="71" t="n">
        <x:f>'UocLuongOLS'!$B$14+'UocLuongOLS'!$B$13*E55</x:f>
        <x:v>1.597135362140752</x:v>
      </x:c>
      <x:c r="L55" s="71" t="n">
        <x:f>F55-K55</x:f>
        <x:v>-0.1971353621407521</x:v>
      </x:c>
      <x:c r="M55" s="71" t="n">
        <x:f>L55^2</x:f>
        <x:v>0.03886235100636548</x:v>
      </x:c>
      <x:c r="N55" s="71" t="n">
        <x:f>H55^2</x:f>
        <x:v>0.34391266877334215</x:v>
      </x:c>
    </x:row>
    <x:row r="56">
      <x:c r="A56" s="69" t="n">
        <x:v>55</x:v>
      </x:c>
      <x:c r="B56" s="69" t="str">
        <x:v>HS190813</x:v>
      </x:c>
      <x:c r="C56" s="69" t="str">
        <x:v>Hòa Lạc</x:v>
      </x:c>
      <x:c r="D56" s="69" t="str">
        <x:v>Phòng khép kín</x:v>
      </x:c>
      <x:c r="E56" s="70" t="n">
        <x:v>7.5</x:v>
      </x:c>
      <x:c r="F56" s="70" t="n">
        <x:v>1.5</x:v>
      </x:c>
      <x:c r="G56" s="71" t="n">
        <x:f>E56-'UocLuongOLS'!$B$6</x:f>
        <x:v>3.0728813559322026</x:v>
      </x:c>
      <x:c r="H56" s="71" t="n">
        <x:f>F56-'UocLuongOLS'!$B$7</x:f>
        <x:v>-0.4864406779661026</x:v>
      </x:c>
      <x:c r="I56" s="71" t="n">
        <x:f>G56*H56</x:f>
        <x:v>-1.4947744900890572</x:v>
      </x:c>
      <x:c r="J56" s="71" t="n">
        <x:f>G56^2</x:f>
        <x:v>9.442599827635732</x:v>
      </x:c>
      <x:c r="K56" s="71" t="n">
        <x:f>'UocLuongOLS'!$B$14+'UocLuongOLS'!$B$13*E56</x:f>
        <x:v>1.5388753402417141</x:v>
      </x:c>
      <x:c r="L56" s="71" t="n">
        <x:f>F56-K56</x:f>
        <x:v>-0.03887534024171413</x:v>
      </x:c>
      <x:c r="M56" s="71" t="n">
        <x:f>L56^2</x:f>
        <x:v>0.001511292078909038</x:v>
      </x:c>
      <x:c r="N56" s="71" t="n">
        <x:f>H56^2</x:f>
        <x:v>0.2366245331801215</x:v>
      </x:c>
    </x:row>
    <x:row r="57">
      <x:c r="A57" s="69" t="n">
        <x:v>56</x:v>
      </x:c>
      <x:c r="B57" s="69" t="str">
        <x:v>HS181943</x:v>
      </x:c>
      <x:c r="C57" s="69" t="str">
        <x:v>Hòa Lạc</x:v>
      </x:c>
      <x:c r="D57" s="69" t="str">
        <x:v>Phòng khép kín</x:v>
      </x:c>
      <x:c r="E57" s="70" t="n">
        <x:v>7.5</x:v>
      </x:c>
      <x:c r="F57" s="70" t="n">
        <x:v>1.5</x:v>
      </x:c>
      <x:c r="G57" s="71" t="n">
        <x:f>E57-'UocLuongOLS'!$B$6</x:f>
        <x:v>3.0728813559322026</x:v>
      </x:c>
      <x:c r="H57" s="71" t="n">
        <x:f>F57-'UocLuongOLS'!$B$7</x:f>
        <x:v>-0.4864406779661026</x:v>
      </x:c>
      <x:c r="I57" s="71" t="n">
        <x:f>G57*H57</x:f>
        <x:v>-1.4947744900890572</x:v>
      </x:c>
      <x:c r="J57" s="71" t="n">
        <x:f>G57^2</x:f>
        <x:v>9.442599827635732</x:v>
      </x:c>
      <x:c r="K57" s="71" t="n">
        <x:f>'UocLuongOLS'!$B$14+'UocLuongOLS'!$B$13*E57</x:f>
        <x:v>1.5388753402417141</x:v>
      </x:c>
      <x:c r="L57" s="71" t="n">
        <x:f>F57-K57</x:f>
        <x:v>-0.03887534024171413</x:v>
      </x:c>
      <x:c r="M57" s="71" t="n">
        <x:f>L57^2</x:f>
        <x:v>0.001511292078909038</x:v>
      </x:c>
      <x:c r="N57" s="71" t="n">
        <x:f>H57^2</x:f>
        <x:v>0.2366245331801215</x:v>
      </x:c>
    </x:row>
    <x:row r="58">
      <x:c r="A58" s="69" t="n">
        <x:v>57</x:v>
      </x:c>
      <x:c r="B58" s="69" t="str">
        <x:v>HE184166</x:v>
      </x:c>
      <x:c r="C58" s="69" t="str">
        <x:v>Hòa Lạc</x:v>
      </x:c>
      <x:c r="D58" s="69" t="str">
        <x:v>Phòng khép kín</x:v>
      </x:c>
      <x:c r="E58" s="70" t="n">
        <x:v>7.8</x:v>
      </x:c>
      <x:c r="F58" s="70" t="n">
        <x:v>1.5</x:v>
      </x:c>
      <x:c r="G58" s="71" t="n">
        <x:f>E58-'UocLuongOLS'!$B$6</x:f>
        <x:v>3.3728813559322024</x:v>
      </x:c>
      <x:c r="H58" s="71" t="n">
        <x:f>F58-'UocLuongOLS'!$B$7</x:f>
        <x:v>-0.4864406779661026</x:v>
      </x:c>
      <x:c r="I58" s="71" t="n">
        <x:f>G58*H58</x:f>
        <x:v>-1.6407066934788879</x:v>
      </x:c>
      <x:c r="J58" s="71" t="n">
        <x:f>G58^2</x:f>
        <x:v>11.376328641195052</x:v>
      </x:c>
      <x:c r="K58" s="71" t="n">
        <x:f>'UocLuongOLS'!$B$14+'UocLuongOLS'!$B$13*E58</x:f>
        <x:v>1.4951803238174357</x:v>
      </x:c>
      <x:c r="L58" s="71" t="n">
        <x:f>F58-K58</x:f>
        <x:v>0.004819676182564292</x:v>
      </x:c>
      <x:c r="M58" s="71" t="n">
        <x:f>L58^2</x:f>
        <x:v>0.000023229278504777506</x:v>
      </x:c>
      <x:c r="N58" s="71" t="n">
        <x:f>H58^2</x:f>
        <x:v>0.2366245331801215</x:v>
      </x:c>
    </x:row>
    <x:row r="59">
      <x:c r="A59" s="69" t="n">
        <x:v>58</x:v>
      </x:c>
      <x:c r="B59" s="69" t="str">
        <x:v>HC189029</x:v>
      </x:c>
      <x:c r="C59" s="69" t="str">
        <x:v>Hòa Lạc</x:v>
      </x:c>
      <x:c r="D59" s="69" t="str">
        <x:v>Phòng khép kín</x:v>
      </x:c>
      <x:c r="E59" s="70" t="n">
        <x:v>8</x:v>
      </x:c>
      <x:c r="F59" s="70" t="n">
        <x:v>1.4</x:v>
      </x:c>
      <x:c r="G59" s="71" t="n">
        <x:f>E59-'UocLuongOLS'!$B$6</x:f>
        <x:v>3.5728813559322026</x:v>
      </x:c>
      <x:c r="H59" s="71" t="n">
        <x:f>F59-'UocLuongOLS'!$B$7</x:f>
        <x:v>-0.5864406779661027</x:v>
      </x:c>
      <x:c r="I59" s="71" t="n">
        <x:f>G59*H59</x:f>
        <x:v>-2.095282964665329</x:v>
      </x:c>
      <x:c r="J59" s="71" t="n">
        <x:f>G59^2</x:f>
        <x:v>12.765481183567934</x:v>
      </x:c>
      <x:c r="K59" s="71" t="n">
        <x:f>'UocLuongOLS'!$B$14+'UocLuongOLS'!$B$13*E59</x:f>
        <x:v>1.4660503128679168</x:v>
      </x:c>
      <x:c r="L59" s="71" t="n">
        <x:f>F59-K59</x:f>
        <x:v>-0.06605031286791685</x:v>
      </x:c>
      <x:c r="M59" s="71" t="n">
        <x:f>L59^2</x:f>
        <x:v>0.004362643829949702</x:v>
      </x:c>
      <x:c r="N59" s="71" t="n">
        <x:f>H59^2</x:f>
        <x:v>0.34391266877334215</x:v>
      </x:c>
    </x:row>
    <x:row r="60">
      <x:c r="A60" s="72" t="n">
        <x:v>59</x:v>
      </x:c>
      <x:c r="B60" s="72" t="str">
        <x:v>HS202491</x:v>
      </x:c>
      <x:c r="C60" s="72" t="str">
        <x:v>Hòa Lạc</x:v>
      </x:c>
      <x:c r="D60" s="72" t="str">
        <x:v>Phòng khép kín</x:v>
      </x:c>
      <x:c r="E60" s="73" t="n">
        <x:v>8.2</x:v>
      </x:c>
      <x:c r="F60" s="73" t="n">
        <x:v>1.3</x:v>
      </x:c>
      <x:c r="G60" s="74" t="n">
        <x:f>E60-'UocLuongOLS'!$B$6</x:f>
        <x:v>3.772881355932202</x:v>
      </x:c>
      <x:c r="H60" s="74" t="n">
        <x:f>F60-'UocLuongOLS'!$B$7</x:f>
        <x:v>-0.6864406779661025</x:v>
      </x:c>
      <x:c r="I60" s="74" t="n">
        <x:f>G60*H60</x:f>
        <x:v>-2.589859235851769</x:v>
      </x:c>
      <x:c r="J60" s="74" t="n">
        <x:f>G60^2</x:f>
        <x:v>14.23463372594081</x:v>
      </x:c>
      <x:c r="K60" s="74" t="n">
        <x:f>'UocLuongOLS'!$B$14+'UocLuongOLS'!$B$13*E60</x:f>
        <x:v>1.4369203019183978</x:v>
      </x:c>
      <x:c r="L60" s="74" t="n">
        <x:f>F60-K60</x:f>
        <x:v>-0.13692030191839777</x:v>
      </x:c>
      <x:c r="M60" s="74" t="n">
        <x:f>L60^2</x:f>
        <x:v>0.0187471690774252</x:v>
      </x:c>
      <x:c r="N60" s="74" t="n">
        <x:f>H60^2</x:f>
        <x:v>0.4712008043665625</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28" hidden="0" customWidth="1"/>
    <x:col min="4" max="4" width="50" hidden="0" customWidth="1"/>
    <x:col min="5" max="5" width="3" hidden="0" customWidth="1"/>
    <x:col min="6" max="6" width="3" hidden="0" customWidth="1"/>
  </x:cols>
  <x:sheetData>
    <x:row r="1" ht="34" customHeight="1">
      <x:c r="A1" s="88" t="str">
        <x:v>ƯỚC LƯỢNG OLS — TÍNH TỪNG BƯỚC</x:v>
      </x:c>
      <x:c r="B1" s="88" t="str">
        <x:v>ƯỚC LƯỢNG OLS — TÍNH TỪNG BƯỚC</x:v>
      </x:c>
      <x:c r="C1" s="88" t="str">
        <x:v>ƯỚC LƯỢNG OLS — TÍNH TỪNG BƯỚC</x:v>
      </x:c>
      <x:c r="D1" s="88" t="str">
        <x:v>ƯỚC LƯỢNG OLS — TÍNH TỪNG BƯỚC</x:v>
      </x:c>
      <x:c r="E1" s="88" t="str">
        <x:v>ƯỚC LƯỢNG OLS — TÍNH TỪNG BƯỚC</x:v>
      </x:c>
      <x:c r="F1" s="88" t="str">
        <x:v>ƯỚC LƯỢNG OLS — TÍNH TỪNG BƯỚC</x:v>
      </x:c>
    </x:row>
    <x:row r="3" ht="24" customHeight="1">
      <x:c r="A3" s="90" t="str">
        <x:v>Bước 1 — Trung bình và tổng độ lệch</x:v>
      </x:c>
      <x:c r="B3" s="90" t="str">
        <x:v>Bước 1 — Trung bình và tổng độ lệch</x:v>
      </x:c>
      <x:c r="C3" s="90" t="str">
        <x:v>Bước 1 — Trung bình và tổng độ lệch</x:v>
      </x:c>
      <x:c r="D3" s="90" t="str">
        <x:v>Bước 1 — Trung bình và tổng độ lệch</x:v>
      </x:c>
      <x:c r="E3" s="90" t="str">
        <x:v>Bước 1 — Trung bình và tổng độ lệch</x:v>
      </x:c>
      <x:c r="F3" s="90" t="str">
        <x:v>Bước 1 — Trung bình và tổng độ lệch</x:v>
      </x:c>
    </x:row>
    <x:row r="4">
      <x:c r="A4" s="42" t="str">
        <x:v>Ký hiệu</x:v>
      </x:c>
      <x:c r="B4" s="42" t="str">
        <x:v>Giá trị</x:v>
      </x:c>
      <x:c r="C4" s="42" t="str">
        <x:v>Công thức toán</x:v>
      </x:c>
      <x:c r="D4" s="42" t="str">
        <x:v>Công thức Excel / ý nghĩa</x:v>
      </x:c>
    </x:row>
    <x:row r="5">
      <x:c r="A5" s="66" t="str">
        <x:v>n</x:v>
      </x:c>
      <x:c r="B5" s="108" t="n">
        <x:f>COUNT('MauHoiQuy'!$E$2:$E$60)</x:f>
        <x:v>59</x:v>
      </x:c>
      <x:c r="C5" s="110" t="str">
        <x:v>Số quan sát</x:v>
      </x:c>
      <x:c r="D5" s="110" t="str">
        <x:v>=COUNT('MauHoiQuy'!E2:E60)</x:v>
      </x:c>
    </x:row>
    <x:row r="6">
      <x:c r="A6" s="69" t="str">
        <x:v>x̄</x:v>
      </x:c>
      <x:c r="B6" s="70" t="n">
        <x:f>AVERAGE('MauHoiQuy'!$E$2:$E$60)</x:f>
        <x:v>4.427118644067797</x:v>
      </x:c>
      <x:c r="C6" s="111" t="str">
        <x:v>Σxi/n</x:v>
      </x:c>
      <x:c r="D6" s="111" t="str">
        <x:v>=AVERAGE('MauHoiQuy'!E2:E60)</x:v>
      </x:c>
    </x:row>
    <x:row r="7">
      <x:c r="A7" s="69" t="str">
        <x:v>ȳ</x:v>
      </x:c>
      <x:c r="B7" s="70" t="n">
        <x:f>AVERAGE('MauHoiQuy'!$F$2:$F$60)</x:f>
        <x:v>1.9864406779661026</x:v>
      </x:c>
      <x:c r="C7" s="111" t="str">
        <x:v>Σyi/n</x:v>
      </x:c>
      <x:c r="D7" s="111" t="str">
        <x:v>=AVERAGE('MauHoiQuy'!F2:F60)</x:v>
      </x:c>
    </x:row>
    <x:row r="8">
      <x:c r="A8" s="69" t="str">
        <x:v>Sxx</x:v>
      </x:c>
      <x:c r="B8" s="70" t="n">
        <x:f>SUM('MauHoiQuy'!$J$2:$J$60)</x:f>
        <x:v>197.51661016949146</x:v>
      </x:c>
      <x:c r="C8" s="111" t="str">
        <x:v>Σ(xi−x̄)²</x:v>
      </x:c>
      <x:c r="D8" s="111" t="str">
        <x:v>=SUM('MauHoiQuy'!J2:J60)</x:v>
      </x:c>
    </x:row>
    <x:row r="9">
      <x:c r="A9" s="72" t="str">
        <x:v>Sxy</x:v>
      </x:c>
      <x:c r="B9" s="73" t="n">
        <x:f>SUM('MauHoiQuy'!$I$2:$I$60)</x:f>
        <x:v>-28.768305084745762</x:v>
      </x:c>
      <x:c r="C9" s="112" t="str">
        <x:v>Σ(xi−x̄)(yi−ȳ)</x:v>
      </x:c>
      <x:c r="D9" s="112" t="str">
        <x:v>=SUM('MauHoiQuy'!I2:I60)</x:v>
      </x:c>
    </x:row>
    <x:row r="10">
      <x:c r="B10" s="44"/>
      <x:c r="C10" s="113"/>
      <x:c r="D10" s="113"/>
    </x:row>
    <x:row r="11" ht="24" customHeight="1">
      <x:c r="A11" s="90" t="str">
        <x:v>Bước 2 — Ước lượng hệ số</x:v>
      </x:c>
      <x:c r="B11" s="98" t="str">
        <x:v>Bước 2 — Ước lượng hệ số</x:v>
      </x:c>
      <x:c r="C11" s="114" t="str">
        <x:v>Bước 2 — Ước lượng hệ số</x:v>
      </x:c>
      <x:c r="D11" s="114" t="str">
        <x:v>Bước 2 — Ước lượng hệ số</x:v>
      </x:c>
      <x:c r="E11" s="90" t="str">
        <x:v>Bước 2 — Ước lượng hệ số</x:v>
      </x:c>
      <x:c r="F11" s="90" t="str">
        <x:v>Bước 2 — Ước lượng hệ số</x:v>
      </x:c>
    </x:row>
    <x:row r="12">
      <x:c r="A12" s="42" t="str">
        <x:v>Ước lượng</x:v>
      </x:c>
      <x:c r="B12" s="99" t="str">
        <x:v>Giá trị</x:v>
      </x:c>
      <x:c r="C12" s="42" t="str">
        <x:v>Công thức</x:v>
      </x:c>
      <x:c r="D12" s="42" t="str">
        <x:v>Cách đọc</x:v>
      </x:c>
    </x:row>
    <x:row r="13">
      <x:c r="A13" s="66" t="str">
        <x:v>β̂1</x:v>
      </x:c>
      <x:c r="B13" s="67" t="n">
        <x:f>B9/B8</x:f>
        <x:v>-0.14565005474759476</x:v>
      </x:c>
      <x:c r="C13" s="110" t="str">
        <x:v>Sxy/Sxx</x:v>
      </x:c>
      <x:c r="D13" s="110" t="str">
        <x:v>Giá thay đổi trung bình khi khoảng cách tăng 1 km</x:v>
      </x:c>
    </x:row>
    <x:row r="14">
      <x:c r="A14" s="72" t="str">
        <x:v>β̂0</x:v>
      </x:c>
      <x:c r="B14" s="73" t="n">
        <x:f>B7-B13*B6</x:f>
        <x:v>2.631250750848675</x:v>
      </x:c>
      <x:c r="C14" s="112" t="str">
        <x:v>ȳ−β̂1x̄</x:v>
      </x:c>
      <x:c r="D14" s="112" t="str">
        <x:v>Điểm chặn toán học tại X=0</x:v>
      </x:c>
    </x:row>
    <x:row r="15">
      <x:c r="B15" s="44"/>
      <x:c r="C15" s="113"/>
      <x:c r="D15" s="113"/>
    </x:row>
    <x:row r="16">
      <x:c r="A16" s="4" t="str">
        <x:v>Phương trình mẫu</x:v>
      </x:c>
      <x:c r="B16" s="100" t="str">
        <x:f>"Ŷ = "&amp;TEXT(B14,"0.000")&amp;IF(B13&lt;0," − "," + ")&amp;TEXT(ABS(B13),"0.000")&amp;"X"</x:f>
        <x:v>Ŷ = 2.631 − 0.146X</x:v>
      </x:c>
      <x:c r="C16" s="115"/>
      <x:c r="D16" s="115"/>
    </x:row>
    <x:row r="17">
      <x:c r="B17" s="44"/>
      <x:c r="C17" s="113"/>
      <x:c r="D17" s="113"/>
    </x:row>
    <x:row r="18" ht="24" customHeight="1">
      <x:c r="A18" s="90" t="str">
        <x:v>Bước 3 — Phần dư và phương sai sai số</x:v>
      </x:c>
      <x:c r="B18" s="98" t="str">
        <x:v>Bước 3 — Phần dư và phương sai sai số</x:v>
      </x:c>
      <x:c r="C18" s="114" t="str">
        <x:v>Bước 3 — Phần dư và phương sai sai số</x:v>
      </x:c>
      <x:c r="D18" s="114" t="str">
        <x:v>Bước 3 — Phần dư và phương sai sai số</x:v>
      </x:c>
      <x:c r="E18" s="90" t="str">
        <x:v>Bước 3 — Phần dư và phương sai sai số</x:v>
      </x:c>
      <x:c r="F18" s="90" t="str">
        <x:v>Bước 3 — Phần dư và phương sai sai số</x:v>
      </x:c>
    </x:row>
    <x:row r="19">
      <x:c r="A19" s="42" t="str">
        <x:v>Chỉ số</x:v>
      </x:c>
      <x:c r="B19" s="99" t="str">
        <x:v>Giá trị</x:v>
      </x:c>
      <x:c r="C19" s="42" t="str">
        <x:v>Công thức</x:v>
      </x:c>
      <x:c r="D19" s="42" t="str">
        <x:v>Ý nghĩa</x:v>
      </x:c>
    </x:row>
    <x:row r="20">
      <x:c r="A20" s="66" t="str">
        <x:v>SSE</x:v>
      </x:c>
      <x:c r="B20" s="67" t="n">
        <x:f>SUM('MauHoiQuy'!$M$2:$M$60)</x:f>
        <x:v>4.959047331784152</x:v>
      </x:c>
      <x:c r="C20" s="110" t="str">
        <x:v>Σei²</x:v>
      </x:c>
      <x:c r="D20" s="110" t="str">
        <x:v>Tổng bình phương phần dư</x:v>
      </x:c>
    </x:row>
    <x:row r="21">
      <x:c r="A21" s="69" t="str">
        <x:v>SST</x:v>
      </x:c>
      <x:c r="B21" s="70" t="n">
        <x:f>SUM('MauHoiQuy'!$N$2:$N$60)</x:f>
        <x:v>9.149152542372878</x:v>
      </x:c>
      <x:c r="C21" s="111" t="str">
        <x:v>Σ(yi−ȳ)²</x:v>
      </x:c>
      <x:c r="D21" s="111" t="str">
        <x:v>Tổng biến thiên của Y</x:v>
      </x:c>
    </x:row>
    <x:row r="22">
      <x:c r="A22" s="69" t="str">
        <x:v>s²</x:v>
      </x:c>
      <x:c r="B22" s="70" t="n">
        <x:f>B20/(B5-2)</x:f>
        <x:v>0.08700083038217811</x:v>
      </x:c>
      <x:c r="C22" s="111" t="str">
        <x:v>SSE/(n−2)</x:v>
      </x:c>
      <x:c r="D22" s="111" t="str">
        <x:v>Ước lượng không chệch của σ²</x:v>
      </x:c>
    </x:row>
    <x:row r="23">
      <x:c r="A23" s="69" t="str">
        <x:v>s</x:v>
      </x:c>
      <x:c r="B23" s="70" t="n">
        <x:f>SQRT(B22)</x:f>
        <x:v>0.29495903170131627</x:v>
      </x:c>
      <x:c r="C23" s="111" t="str">
        <x:v>√s²</x:v>
      </x:c>
      <x:c r="D23" s="111" t="str">
        <x:v>Sai số chuẩn của mô hình</x:v>
      </x:c>
    </x:row>
    <x:row r="24">
      <x:c r="A24" s="69" t="str">
        <x:v>SE(β̂1)</x:v>
      </x:c>
      <x:c r="B24" s="70" t="n">
        <x:f>B23/SQRT(B8)</x:f>
        <x:v>0.02098746027571391</x:v>
      </x:c>
      <x:c r="C24" s="111" t="str">
        <x:v>s/√Sxx</x:v>
      </x:c>
      <x:c r="D24" s="111" t="str">
        <x:v>Sai số chuẩn của hệ số góc</x:v>
      </x:c>
    </x:row>
    <x:row r="25">
      <x:c r="A25" s="72" t="str">
        <x:v>SE(β̂0)</x:v>
      </x:c>
      <x:c r="B25" s="73" t="n">
        <x:f>B23*SQRT(1/B5+B6^2/B8)</x:f>
        <x:v>0.10053654762138078</x:v>
      </x:c>
      <x:c r="C25" s="112" t="str">
        <x:v>s√(1/n+x̄²/Sxx)</x:v>
      </x:c>
      <x:c r="D25" s="112" t="str">
        <x:v>Sai số chuẩn của hệ số chặn</x:v>
      </x:c>
    </x:row>
  </x:sheetData>
  <x:mergeCells>
    <x:mergeCell ref="A1:F1"/>
    <x:mergeCell ref="A3:F3"/>
    <x:mergeCell ref="A11:F11"/>
    <x:mergeCell ref="B16:D16"/>
    <x:mergeCell ref="A18:F18"/>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39" hidden="0" customWidth="1"/>
    <x:col min="4" max="4" width="43" hidden="0" customWidth="1"/>
    <x:col min="5" max="5" width="3" hidden="0" customWidth="1"/>
    <x:col min="6" max="6" width="3" hidden="0" customWidth="1"/>
  </x:cols>
  <x:sheetData>
    <x:row r="1" ht="34" customHeight="1">
      <x:c r="A1" s="88" t="str">
        <x:v>KIỂM ĐỊNH, KHOẢNG TIN CẬY VÀ DỰ BÁO</x:v>
      </x:c>
      <x:c r="B1" s="88" t="str">
        <x:v>KIỂM ĐỊNH, KHOẢNG TIN CẬY VÀ DỰ BÁO</x:v>
      </x:c>
      <x:c r="C1" s="88" t="str">
        <x:v>KIỂM ĐỊNH, KHOẢNG TIN CẬY VÀ DỰ BÁO</x:v>
      </x:c>
      <x:c r="D1" s="88" t="str">
        <x:v>KIỂM ĐỊNH, KHOẢNG TIN CẬY VÀ DỰ BÁO</x:v>
      </x:c>
      <x:c r="E1" s="88" t="str">
        <x:v>KIỂM ĐỊNH, KHOẢNG TIN CẬY VÀ DỰ BÁO</x:v>
      </x:c>
      <x:c r="F1" s="88" t="str">
        <x:v>KIỂM ĐỊNH, KHOẢNG TIN CẬY VÀ DỰ BÁO</x:v>
      </x:c>
    </x:row>
    <x:row r="3" ht="24" customHeight="1">
      <x:c r="A3" s="90" t="str">
        <x:v>Kiểm định H0: β1 = 0; H1: β1 ≠ 0</x:v>
      </x:c>
      <x:c r="B3" s="90" t="str">
        <x:v>Kiểm định H0: β1 = 0; H1: β1 ≠ 0</x:v>
      </x:c>
      <x:c r="C3" s="90" t="str">
        <x:v>Kiểm định H0: β1 = 0; H1: β1 ≠ 0</x:v>
      </x:c>
      <x:c r="D3" s="90" t="str">
        <x:v>Kiểm định H0: β1 = 0; H1: β1 ≠ 0</x:v>
      </x:c>
      <x:c r="E3" s="90" t="str">
        <x:v>Kiểm định H0: β1 = 0; H1: β1 ≠ 0</x:v>
      </x:c>
      <x:c r="F3" s="90" t="str">
        <x:v>Kiểm định H0: β1 = 0; H1: β1 ≠ 0</x:v>
      </x:c>
    </x:row>
    <x:row r="4">
      <x:c r="A4" s="42" t="str">
        <x:v>Đại lượng</x:v>
      </x:c>
      <x:c r="B4" s="42" t="str">
        <x:v>Giá trị</x:v>
      </x:c>
      <x:c r="C4" s="42" t="str">
        <x:v>Công thức</x:v>
      </x:c>
      <x:c r="D4" s="42" t="str">
        <x:v>Kết luận</x:v>
      </x:c>
    </x:row>
    <x:row r="5">
      <x:c r="A5" s="66" t="str">
        <x:v>β̂1</x:v>
      </x:c>
      <x:c r="B5" s="67" t="n">
        <x:f>'UocLuongOLS'!B13</x:f>
        <x:v>-0.14565005474759476</x:v>
      </x:c>
      <x:c r="C5" s="66" t="str">
        <x:v>Từ OLS</x:v>
      </x:c>
      <x:c r="D5" s="66" t="str">
        <x:v>Hệ số góc</x:v>
      </x:c>
    </x:row>
    <x:row r="6">
      <x:c r="A6" s="69" t="str">
        <x:v>SE(β̂1)</x:v>
      </x:c>
      <x:c r="B6" s="70" t="n">
        <x:f>'UocLuongOLS'!B24</x:f>
        <x:v>0.02098746027571391</x:v>
      </x:c>
      <x:c r="C6" s="69" t="str">
        <x:v>s/√Sxx</x:v>
      </x:c>
      <x:c r="D6" s="69" t="str">
        <x:v>Độ bất định</x:v>
      </x:c>
    </x:row>
    <x:row r="7">
      <x:c r="A7" s="69" t="str">
        <x:v>t</x:v>
      </x:c>
      <x:c r="B7" s="70" t="n">
        <x:f>B5/B6</x:f>
        <x:v>-6.939860889987573</x:v>
      </x:c>
      <x:c r="C7" s="69" t="str">
        <x:v>β̂1/SE(β̂1)</x:v>
      </x:c>
      <x:c r="D7" s="69" t="str">
        <x:v>So với phân phối t, df=n−2</x:v>
      </x:c>
    </x:row>
    <x:row r="8">
      <x:c r="A8" s="69" t="str">
        <x:v>df</x:v>
      </x:c>
      <x:c r="B8" s="70" t="n">
        <x:f>'UocLuongOLS'!B5-2</x:f>
        <x:v>57</x:v>
      </x:c>
      <x:c r="C8" s="69" t="str">
        <x:v>n−2</x:v>
      </x:c>
      <x:c r="D8" s="69" t="str">
        <x:v>Bậc tự do</x:v>
      </x:c>
    </x:row>
    <x:row r="9">
      <x:c r="A9" s="69" t="str">
        <x:v>p-value</x:v>
      </x:c>
      <x:c r="B9" s="146" t="n">
        <x:v>4.007236786152316e-9</x:v>
      </x:c>
      <x:c r="C9" s="69" t="str">
        <x:v>Excel: =T.DIST.2T(ABS(B7),B8)</x:v>
      </x:c>
      <x:c r="D9" s="69" t="str">
        <x:v>p&lt;0,05 ⇒ bác bỏ H0</x:v>
      </x:c>
    </x:row>
    <x:row r="10">
      <x:c r="A10" s="69" t="str">
        <x:v>t* 95%</x:v>
      </x:c>
      <x:c r="B10" s="70" t="n">
        <x:v>2.002465459291007</x:v>
      </x:c>
      <x:c r="C10" s="69" t="str">
        <x:v>Excel: =T.INV.2T(0.05,B8)</x:v>
      </x:c>
      <x:c r="D10" s="69" t="str">
        <x:v>Giá trị tới hạn</x:v>
      </x:c>
    </x:row>
    <x:row r="11">
      <x:c r="A11" s="69" t="str">
        <x:v>CI β1 dưới</x:v>
      </x:c>
      <x:c r="B11" s="70" t="n">
        <x:f>B5-B10*B6</x:f>
        <x:v>-0.187676719027954</x:v>
      </x:c>
      <x:c r="C11" s="69" t="str">
        <x:v>β̂1−t*SE</x:v>
      </x:c>
      <x:c r="D11" s="69" t="str">
        <x:v>Cận dưới</x:v>
      </x:c>
    </x:row>
    <x:row r="12">
      <x:c r="A12" s="72" t="str">
        <x:v>CI β1 trên</x:v>
      </x:c>
      <x:c r="B12" s="73" t="n">
        <x:f>B5+B10*B6</x:f>
        <x:v>-0.10362339046723554</x:v>
      </x:c>
      <x:c r="C12" s="72" t="str">
        <x:v>β̂1+t*SE</x:v>
      </x:c>
      <x:c r="D12" s="72" t="str">
        <x:v>Cận trên</x:v>
      </x:c>
    </x:row>
    <x:row r="14" ht="24" customHeight="1">
      <x:c r="A14" s="90" t="str">
        <x:v>Dự báo tại khoảng cách X0 — thay ô B16</x:v>
      </x:c>
      <x:c r="B14" s="90" t="str">
        <x:v>Dự báo tại khoảng cách X0 — thay ô B16</x:v>
      </x:c>
      <x:c r="C14" s="90" t="str">
        <x:v>Dự báo tại khoảng cách X0 — thay ô B16</x:v>
      </x:c>
      <x:c r="D14" s="90" t="str">
        <x:v>Dự báo tại khoảng cách X0 — thay ô B16</x:v>
      </x:c>
      <x:c r="E14" s="90" t="str">
        <x:v>Dự báo tại khoảng cách X0 — thay ô B16</x:v>
      </x:c>
      <x:c r="F14" s="90" t="str">
        <x:v>Dự báo tại khoảng cách X0 — thay ô B16</x:v>
      </x:c>
    </x:row>
    <x:row r="15">
      <x:c r="A15" s="42" t="str">
        <x:v>Đại lượng</x:v>
      </x:c>
      <x:c r="B15" s="42" t="str">
        <x:v>Giá trị</x:v>
      </x:c>
      <x:c r="C15" s="42" t="str">
        <x:v>Công thức</x:v>
      </x:c>
      <x:c r="D15" s="42" t="str">
        <x:v>Ý nghĩa</x:v>
      </x:c>
    </x:row>
    <x:row r="16">
      <x:c r="A16" s="66" t="str">
        <x:v>X0 (km)</x:v>
      </x:c>
      <x:c r="B16" s="156" t="n">
        <x:v>3</x:v>
      </x:c>
      <x:c r="C16" s="66" t="str">
        <x:v>Ô nhập</x:v>
      </x:c>
      <x:c r="D16" s="66" t="str">
        <x:v>Khoảng cách cần dự báo</x:v>
      </x:c>
    </x:row>
    <x:row r="17">
      <x:c r="A17" s="69" t="str">
        <x:v>Ŷ0</x:v>
      </x:c>
      <x:c r="B17" s="70" t="n">
        <x:f>'UocLuongOLS'!$B$14+'UocLuongOLS'!$B$13*B16</x:f>
        <x:v>2.1943005866058907</x:v>
      </x:c>
      <x:c r="C17" s="69" t="str">
        <x:v>β̂0+β̂1X0</x:v>
      </x:c>
      <x:c r="D17" s="69" t="str">
        <x:v>Dự báo điểm</x:v>
      </x:c>
    </x:row>
    <x:row r="18">
      <x:c r="A18" s="69" t="str">
        <x:v>SE mean</x:v>
      </x:c>
      <x:c r="B18" s="70" t="n">
        <x:f>'UocLuongOLS'!$B$23*SQRT(1/'UocLuongOLS'!$B$5+(B16-'UocLuongOLS'!$B$6)^2/'UocLuongOLS'!$B$8)</x:f>
        <x:v>0.048699983978318644</x:v>
      </x:c>
      <x:c r="C18" s="69" t="str">
        <x:v>s√[1/n+(X0−x̄)²/Sxx]</x:v>
      </x:c>
      <x:c r="D18" s="69" t="str">
        <x:v>Sai số của giá trung bình</x:v>
      </x:c>
    </x:row>
    <x:row r="19">
      <x:c r="A19" s="69" t="str">
        <x:v>CI mean dưới</x:v>
      </x:c>
      <x:c r="B19" s="70" t="n">
        <x:f>B17-$B$10*B18</x:f>
        <x:v>2.0967805508212822</x:v>
      </x:c>
      <x:c r="C19" s="69" t="str">
        <x:v>Ŷ0−t*SEmean</x:v>
      </x:c>
      <x:c r="D19" s="69" t="str">
        <x:v>Khoảng tin cậy 95%</x:v>
      </x:c>
    </x:row>
    <x:row r="20">
      <x:c r="A20" s="69" t="str">
        <x:v>CI mean trên</x:v>
      </x:c>
      <x:c r="B20" s="70" t="n">
        <x:f>B17+$B$10*B18</x:f>
        <x:v>2.291820622390499</x:v>
      </x:c>
      <x:c r="C20" s="69" t="str">
        <x:v>Ŷ0+t*SEmean</x:v>
      </x:c>
      <x:c r="D20" s="69" t="str">
        <x:v>Khoảng tin cậy 95%</x:v>
      </x:c>
    </x:row>
    <x:row r="21">
      <x:c r="A21" s="69" t="str">
        <x:v>PI cá thể dưới</x:v>
      </x:c>
      <x:c r="B21" s="70" t="n">
        <x:f>B17-$B$10*'UocLuongOLS'!$B$23*SQRT(1+1/'UocLuongOLS'!$B$5+(B16-'UocLuongOLS'!$B$6)^2/'UocLuongOLS'!$B$8)</x:f>
        <x:v>1.5956587940753797</x:v>
      </x:c>
      <x:c r="C21" s="69" t="str">
        <x:v>Ŷ0−t*s√[1+1/n+(X0−x̄)²/Sxx]</x:v>
      </x:c>
      <x:c r="D21" s="69" t="str">
        <x:v>Khoảng dự báo một phòng</x:v>
      </x:c>
    </x:row>
    <x:row r="22">
      <x:c r="A22" s="72" t="str">
        <x:v>PI cá thể trên</x:v>
      </x:c>
      <x:c r="B22" s="73" t="n">
        <x:f>B17+$B$10*'UocLuongOLS'!$B$23*SQRT(1+1/'UocLuongOLS'!$B$5+(B16-'UocLuongOLS'!$B$6)^2/'UocLuongOLS'!$B$8)</x:f>
        <x:v>2.7929423791364014</x:v>
      </x:c>
      <x:c r="C22" s="72" t="str">
        <x:v>Ŷ0+t*s√[1+1/n+(X0−x̄)²/Sxx]</x:v>
      </x:c>
      <x:c r="D22" s="72" t="str">
        <x:v>Khoảng dự báo một phòng</x:v>
      </x:c>
    </x:row>
  </x:sheetData>
  <x:mergeCells>
    <x:mergeCell ref="A1:F1"/>
    <x:mergeCell ref="A3:F3"/>
    <x:mergeCell ref="A14:F14"/>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6" hidden="0" customWidth="1"/>
    <x:col min="2" max="2" width="13" hidden="0" customWidth="1"/>
    <x:col min="3" max="3" width="17" hidden="0" customWidth="1"/>
    <x:col min="4" max="4" width="17" hidden="0" customWidth="1"/>
    <x:col min="5" max="5" width="15" hidden="0" customWidth="1"/>
    <x:col min="6" max="6" width="15" hidden="0" customWidth="1"/>
  </x:cols>
  <x:sheetData>
    <x:row r="1" ht="34" customHeight="1">
      <x:c r="A1" s="88" t="str">
        <x:v>TẠI SAO TÁCH KTX KHỎI MÔ HÌNH GIÁ TRỌ?</x:v>
      </x:c>
      <x:c r="B1" s="88" t="str">
        <x:v>TẠI SAO TÁCH KTX KHỎI MÔ HÌNH GIÁ TRỌ?</x:v>
      </x:c>
      <x:c r="C1" s="88" t="str">
        <x:v>TẠI SAO TÁCH KTX KHỎI MÔ HÌNH GIÁ TRỌ?</x:v>
      </x:c>
      <x:c r="D1" s="88" t="str">
        <x:v>TẠI SAO TÁCH KTX KHỎI MÔ HÌNH GIÁ TRỌ?</x:v>
      </x:c>
      <x:c r="E1" s="88" t="str">
        <x:v>TẠI SAO TÁCH KTX KHỎI MÔ HÌNH GIÁ TRỌ?</x:v>
      </x:c>
      <x:c r="F1" s="88" t="str">
        <x:v>TẠI SAO TÁCH KTX KHỎI MÔ HÌNH GIÁ TRỌ?</x:v>
      </x:c>
    </x:row>
    <x:row r="3">
      <x:c r="A3" s="42" t="str">
        <x:v>Mẫu</x:v>
      </x:c>
      <x:c r="B3" s="42" t="str">
        <x:v>n</x:v>
      </x:c>
      <x:c r="C3" s="42" t="str">
        <x:v>β̂0</x:v>
      </x:c>
      <x:c r="D3" s="42" t="str">
        <x:v>β̂1</x:v>
      </x:c>
      <x:c r="E3" s="42" t="str">
        <x:v>R²</x:v>
      </x:c>
      <x:c r="F3" s="42" t="str">
        <x:v>r</x:v>
      </x:c>
    </x:row>
    <x:row r="4">
      <x:c r="A4" s="180" t="str">
        <x:v>Gộp toàn bộ</x:v>
      </x:c>
      <x:c r="B4" s="181" t="n">
        <x:v>76</x:v>
      </x:c>
      <x:c r="C4" s="182" t="n">
        <x:v>1.5696242755177854</x:v>
      </x:c>
      <x:c r="D4" s="182" t="n">
        <x:v>0.056501701797488015</x:v>
      </x:c>
      <x:c r="E4" s="182" t="n">
        <x:v>0.06032767572086872</x:v>
      </x:c>
      <x:c r="F4" s="182" t="n">
        <x:v>0.24561692881572458</x:v>
      </x:c>
    </x:row>
    <x:row r="5">
      <x:c r="A5" s="183" t="str">
        <x:v>Chỉ trọ ngoài KTX</x:v>
      </x:c>
      <x:c r="B5" s="184" t="n">
        <x:v>59</x:v>
      </x:c>
      <x:c r="C5" s="185" t="n">
        <x:v>2.631250750848675</x:v>
      </x:c>
      <x:c r="D5" s="185" t="n">
        <x:v>-0.14565005474759476</x:v>
      </x:c>
      <x:c r="E5" s="185" t="n">
        <x:v>0.4579774127912837</x:v>
      </x:c>
      <x:c r="F5" s="185" t="n">
        <x:v>-0.6767402845931988</x:v>
      </x:c>
    </x:row>
    <x:row r="6">
      <x:c r="A6" s="72" t="str">
        <x:v>Kết quả</x:v>
      </x:c>
      <x:c r="B6" s="72" t="str">
        <x:v>17 KTX</x:v>
      </x:c>
      <x:c r="C6" s="72" t="str">
        <x:v>Cơ chế giá khác</x:v>
      </x:c>
      <x:c r="D6" s="72" t="str">
        <x:v>Bị đảo dấu</x:v>
      </x:c>
      <x:c r="E6" s="72" t="str">
        <x:v>Khác rõ</x:v>
      </x:c>
      <x:c r="F6" s="72" t="str">
        <x:v>Khác chiều</x:v>
      </x:c>
    </x:row>
    <x:row r="8" ht="24" customHeight="1">
      <x:c r="A8" s="90" t="str">
        <x:v>Lập luận mô hình</x:v>
      </x:c>
      <x:c r="B8" s="90" t="str">
        <x:v>Lập luận mô hình</x:v>
      </x:c>
      <x:c r="C8" s="90" t="str">
        <x:v>Lập luận mô hình</x:v>
      </x:c>
      <x:c r="D8" s="90" t="str">
        <x:v>Lập luận mô hình</x:v>
      </x:c>
      <x:c r="E8" s="90" t="str">
        <x:v>Lập luận mô hình</x:v>
      </x:c>
      <x:c r="F8" s="90" t="str">
        <x:v>Lập luận mô hình</x:v>
      </x:c>
    </x:row>
    <x:row r="9">
      <x:c r="A9" s="226"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B9" s="227"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C9" s="227"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D9" s="227"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E9" s="227"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F9" s="228"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row>
    <x:row r="10">
      <x:c r="A10" s="229"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B10" s="230"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C10" s="230"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D10" s="230"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E10" s="230"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F10" s="231"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row>
    <x:row r="11">
      <x:c r="A11" s="229"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B11" s="230"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C11" s="230"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D11" s="230"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E11" s="230"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F11" s="231"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row>
    <x:row r="12">
      <x:c r="A12" s="229"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B12" s="230"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C12" s="230"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D12" s="230"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E12" s="230"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F12" s="231"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row>
    <x:row r="13">
      <x:c r="A13" s="232"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B13" s="233"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C13" s="233"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D13" s="233"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E13" s="233"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c r="F13" s="234" t="str">
        <x:v>KTX vẫn là dữ liệu hợp lệ để mô tả, nhưng giá do nhà trường quy định, không hình thành như giá thuê ngoài thị trường. Trong mẫu này, KTX vừa rất gần trường (x̄≈0,365 km) vừa rẻ (ȳ≈1,012 triệu), nên khi gộp với trọ ngoài làm β̂1 đổi từ −0,146 sang +0,057. Vì câu hỏi nghiên cứu là giá thuê trọ thị trường, nhóm giữ 17 dòng KTX ở thống kê mô tả và dùng 59 dòng trọ ngoài để ước lượng OLS.</x:v>
      </x:c>
    </x:row>
  </x:sheetData>
  <x:mergeCells>
    <x:mergeCell ref="A1:F1"/>
    <x:mergeCell ref="A8:F8"/>
    <x:mergeCell ref="A9:F13"/>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35" hidden="0" customWidth="1"/>
    <x:col min="3" max="3" width="22" hidden="0" customWidth="1"/>
    <x:col min="4" max="4" width="23" hidden="0" customWidth="1"/>
    <x:col min="5" max="5" width="35" hidden="0" customWidth="1"/>
    <x:col min="6" max="6" width="18" hidden="0" customWidth="1"/>
  </x:cols>
  <x:sheetData>
    <x:row r="1" ht="34" customHeight="1">
      <x:c r="A1" s="88" t="str">
        <x:v>NHÓM ĐÃ LÀM GÌ — KỊCH BẢN TRÌNH BÀY</x:v>
      </x:c>
      <x:c r="B1" s="88" t="str">
        <x:v>NHÓM ĐÃ LÀM GÌ — KỊCH BẢN TRÌNH BÀY</x:v>
      </x:c>
      <x:c r="C1" s="88" t="str">
        <x:v>NHÓM ĐÃ LÀM GÌ — KỊCH BẢN TRÌNH BÀY</x:v>
      </x:c>
      <x:c r="D1" s="88" t="str">
        <x:v>NHÓM ĐÃ LÀM GÌ — KỊCH BẢN TRÌNH BÀY</x:v>
      </x:c>
      <x:c r="E1" s="88" t="str">
        <x:v>NHÓM ĐÃ LÀM GÌ — KỊCH BẢN TRÌNH BÀY</x:v>
      </x:c>
      <x:c r="F1" s="88" t="str">
        <x:v>NHÓM ĐÃ LÀM GÌ — KỊCH BẢN TRÌNH BÀY</x:v>
      </x:c>
    </x:row>
    <x:row r="3" ht="24" customHeight="1">
      <x:c r="A3" s="90" t="str">
        <x:v>Phân công — thay [Tên] trước khi nộp</x:v>
      </x:c>
      <x:c r="B3" s="90" t="str">
        <x:v>Phân công — thay [Tên] trước khi nộp</x:v>
      </x:c>
      <x:c r="C3" s="90" t="str">
        <x:v>Phân công — thay [Tên] trước khi nộp</x:v>
      </x:c>
      <x:c r="D3" s="90" t="str">
        <x:v>Phân công — thay [Tên] trước khi nộp</x:v>
      </x:c>
      <x:c r="E3" s="90" t="str">
        <x:v>Phân công — thay [Tên] trước khi nộp</x:v>
      </x:c>
      <x:c r="F3" s="90" t="str">
        <x:v>Phân công — thay [Tên] trước khi nộp</x:v>
      </x:c>
    </x:row>
    <x:row r="4">
      <x:c r="A4" s="42" t="str">
        <x:v>Vai trò</x:v>
      </x:c>
      <x:c r="B4" s="42" t="str">
        <x:v>Người phụ trách</x:v>
      </x:c>
      <x:c r="C4" s="42" t="str">
        <x:v>Công việc cụ thể</x:v>
      </x:c>
      <x:c r="D4" s="42" t="str">
        <x:v>Đầu ra</x:v>
      </x:c>
      <x:c r="E4" s="42" t="str">
        <x:v>Cách chứng minh</x:v>
      </x:c>
      <x:c r="F4" s="42" t="str">
        <x:v>Câu nói mở đầu</x:v>
      </x:c>
    </x:row>
    <x:row r="5">
      <x:c r="A5" s="110" t="str">
        <x:v>Thu thập dữ liệu</x:v>
      </x:c>
      <x:c r="B5" s="110" t="str">
        <x:v>[Tên 1]</x:v>
      </x:c>
      <x:c r="C5" s="110" t="str">
        <x:v>Thiết kế câu hỏi, tổng hợp phản hồi</x:v>
      </x:c>
      <x:c r="D5" s="110" t="str">
        <x:v>CSV ban đầu</x:v>
      </x:c>
      <x:c r="E5" s="110" t="str">
        <x:v>Mô tả biến và phạm vi</x:v>
      </x:c>
      <x:c r="F5" s="110" t="str">
        <x:v>Em phụ trách phần thu thập dữ liệu…</x:v>
      </x:c>
    </x:row>
    <x:row r="6">
      <x:c r="A6" s="111" t="str">
        <x:v>Làm sạch &amp; chọn mẫu</x:v>
      </x:c>
      <x:c r="B6" s="111" t="str">
        <x:v>[Tên 2]</x:v>
      </x:c>
      <x:c r="C6" s="111" t="str">
        <x:v>Chuẩn hóa, loại lỗi, kiểm tra thiếu/trùng, tách KTX</x:v>
      </x:c>
      <x:c r="D6" s="111" t="str">
        <x:v>data_clean_sample.csv</x:v>
      </x:c>
      <x:c r="E6" s="111" t="str">
        <x:v>Sheet KiemTraDuLieu</x:v>
      </x:c>
      <x:c r="F6" s="111" t="str">
        <x:v>Em phụ trách làm sạch và kiểm tra…</x:v>
      </x:c>
    </x:row>
    <x:row r="7">
      <x:c r="A7" s="111" t="str">
        <x:v>Excel &amp; ước lượng</x:v>
      </x:c>
      <x:c r="B7" s="111" t="str">
        <x:v>[Tên 3]</x:v>
      </x:c>
      <x:c r="C7" s="111" t="str">
        <x:v>Tạo cột tính, OLS, SE, kiểm định, dự báo</x:v>
      </x:c>
      <x:c r="D7" s="111" t="str">
        <x:v>Workbook</x:v>
      </x:c>
      <x:c r="E7" s="111" t="str">
        <x:v>Sheet MauHoiQuy/UocLuongOLS</x:v>
      </x:c>
      <x:c r="F7" s="111" t="str">
        <x:v>Em phụ trách mô hình và tính toán…</x:v>
      </x:c>
    </x:row>
    <x:row r="8">
      <x:c r="A8" s="112" t="str">
        <x:v>Slide &amp; diễn giải</x:v>
      </x:c>
      <x:c r="B8" s="112" t="str">
        <x:v>[Tên 4]</x:v>
      </x:c>
      <x:c r="C8" s="112" t="str">
        <x:v>Biểu đồ, kết luận, giới hạn nghiên cứu</x:v>
      </x:c>
      <x:c r="D8" s="112" t="str">
        <x:v>PowerPoint</x:v>
      </x:c>
      <x:c r="E8" s="112" t="str">
        <x:v>Đối chiếu số với Excel</x:v>
      </x:c>
      <x:c r="F8" s="112" t="str">
        <x:v>Em phụ trách trình bày kết quả…</x:v>
      </x:c>
    </x:row>
    <x:row r="10" ht="24" customHeight="1">
      <x:c r="A10" s="90" t="str">
        <x:v>Trình tự nói 10–12 phút</x:v>
      </x:c>
      <x:c r="B10" s="90" t="str">
        <x:v>Trình tự nói 10–12 phút</x:v>
      </x:c>
      <x:c r="C10" s="90" t="str">
        <x:v>Trình tự nói 10–12 phút</x:v>
      </x:c>
      <x:c r="D10" s="90" t="str">
        <x:v>Trình tự nói 10–12 phút</x:v>
      </x:c>
      <x:c r="E10" s="90" t="str">
        <x:v>Trình tự nói 10–12 phút</x:v>
      </x:c>
      <x:c r="F10" s="90" t="str">
        <x:v>Trình tự nói 10–12 phút</x:v>
      </x:c>
    </x:row>
    <x:row r="11">
      <x:c r="A11" s="42" t="str">
        <x:v>Bước</x:v>
      </x:c>
      <x:c r="B11" s="42" t="str">
        <x:v>Viết/nói chính</x:v>
      </x:c>
      <x:c r="C11" s="42" t="str">
        <x:v>Mở sheet</x:v>
      </x:c>
      <x:c r="D11" s="42" t="str">
        <x:v>Con số cần nhớ</x:v>
      </x:c>
      <x:c r="E11" s="42" t="str">
        <x:v>Sai lầm cần tránh</x:v>
      </x:c>
      <x:c r="F11" s="42" t="str">
        <x:v>Người nói</x:v>
      </x:c>
    </x:row>
    <x:row r="12">
      <x:c r="A12" s="110" t="str">
        <x:v>1</x:v>
      </x:c>
      <x:c r="B12" s="110" t="str">
        <x:v>Đề tài; X; Y; mục tiêu</x:v>
      </x:c>
      <x:c r="C12" s="110" t="str">
        <x:v>HuongDan</x:v>
      </x:c>
      <x:c r="D12" s="110" t="str">
        <x:v>76 quan sát</x:v>
      </x:c>
      <x:c r="E12" s="110" t="str">
        <x:v>Không nói chung chung</x:v>
      </x:c>
      <x:c r="F12" s="110" t="str">
        <x:v>[Tên]</x:v>
      </x:c>
    </x:row>
    <x:row r="13">
      <x:c r="A13" s="111" t="str">
        <x:v>2</x:v>
      </x:c>
      <x:c r="B13" s="111" t="str">
        <x:v>Phân công từng người</x:v>
      </x:c>
      <x:c r="C13" s="111" t="str">
        <x:v>KichBanNhom</x:v>
      </x:c>
      <x:c r="D13" s="111" t="str">
        <x:v>4 đầu việc</x:v>
      </x:c>
      <x:c r="E13" s="111" t="str">
        <x:v>Không nhận phần của bạn khác</x:v>
      </x:c>
      <x:c r="F13" s="111" t="str">
        <x:v>Cả nhóm</x:v>
      </x:c>
    </x:row>
    <x:row r="14">
      <x:c r="A14" s="111" t="str">
        <x:v>3</x:v>
      </x:c>
      <x:c r="B14" s="111" t="str">
        <x:v>Kiểm tra file sạch</x:v>
      </x:c>
      <x:c r="C14" s="111" t="str">
        <x:v>KiemTraDuLieu</x:v>
      </x:c>
      <x:c r="D14" s="111" t="str">
        <x:v>0 thiếu; 0 trùng</x:v>
      </x:c>
      <x:c r="E14" s="111" t="str">
        <x:v>Không tự bịa dữ liệu thiếu</x:v>
      </x:c>
      <x:c r="F14" s="111" t="str">
        <x:v>[Tên 2]</x:v>
      </x:c>
    </x:row>
    <x:row r="15">
      <x:c r="A15" s="111" t="str">
        <x:v>4</x:v>
      </x:c>
      <x:c r="B15" s="111" t="str">
        <x:v>Mô tả và nhận diện KTX</x:v>
      </x:c>
      <x:c r="C15" s="111" t="str">
        <x:v>ThongKeMoTa</x:v>
      </x:c>
      <x:c r="D15" s="111" t="str">
        <x:v>17 KTX; 59 trọ ngoài</x:v>
      </x:c>
      <x:c r="E15" s="111" t="str">
        <x:v>Không gộp hai cơ chế giá</x:v>
      </x:c>
      <x:c r="F15" s="111" t="str">
        <x:v>[Tên 2]</x:v>
      </x:c>
    </x:row>
    <x:row r="16">
      <x:c r="A16" s="111" t="str">
        <x:v>5</x:v>
      </x:c>
      <x:c r="B16" s="111" t="str">
        <x:v>Mô hình Yi=β0+β1Xi+εi</x:v>
      </x:c>
      <x:c r="C16" s="111" t="str">
        <x:v>UocLuongOLS</x:v>
      </x:c>
      <x:c r="D16" s="111" t="str">
        <x:v>OLS tối thiểu Σe²</x:v>
      </x:c>
      <x:c r="E16" s="111" t="str">
        <x:v>Phân biệt β và β̂</x:v>
      </x:c>
      <x:c r="F16" s="111" t="str">
        <x:v>[Tên 3]</x:v>
      </x:c>
    </x:row>
    <x:row r="17">
      <x:c r="A17" s="111" t="str">
        <x:v>6</x:v>
      </x:c>
      <x:c r="B17" s="111" t="str">
        <x:v>Tính β̂1 và β̂0</x:v>
      </x:c>
      <x:c r="C17" s="111" t="str">
        <x:v>MauHoiQuy</x:v>
      </x:c>
      <x:c r="D17" s="111" t="str">
        <x:v>−0,1457; 2,6313</x:v>
      </x:c>
      <x:c r="E17" s="111" t="str">
        <x:v>Không chỉ đọc SLOPE</x:v>
      </x:c>
      <x:c r="F17" s="111" t="str">
        <x:v>[Tên 3]</x:v>
      </x:c>
    </x:row>
    <x:row r="18">
      <x:c r="A18" s="111" t="str">
        <x:v>7</x:v>
      </x:c>
      <x:c r="B18" s="111" t="str">
        <x:v>Sai số, SE, kiểm định</x:v>
      </x:c>
      <x:c r="C18" s="111" t="str">
        <x:v>KiemDinhDuBao</x:v>
      </x:c>
      <x:c r="D18" s="111" t="str">
        <x:v>p≈4,01×10⁻⁹</x:v>
      </x:c>
      <x:c r="E18" s="111" t="str">
        <x:v>Không nói p là xác suất H0 đúng</x:v>
      </x:c>
      <x:c r="F18" s="111" t="str">
        <x:v>[Tên 3]</x:v>
      </x:c>
    </x:row>
    <x:row r="19">
      <x:c r="A19" s="111" t="str">
        <x:v>8</x:v>
      </x:c>
      <x:c r="B19" s="111" t="str">
        <x:v>Diễn giải R² và dự báo</x:v>
      </x:c>
      <x:c r="C19" s="111" t="str">
        <x:v>HuongDan</x:v>
      </x:c>
      <x:c r="D19" s="111" t="str">
        <x:v>R²≈45,80%; X0=3 ⇒ 2,194</x:v>
      </x:c>
      <x:c r="E19" s="111" t="str">
        <x:v>R² không phải độ chính xác</x:v>
      </x:c>
      <x:c r="F19" s="111" t="str">
        <x:v>[Tên 4]</x:v>
      </x:c>
    </x:row>
    <x:row r="20">
      <x:c r="A20" s="112" t="str">
        <x:v>9</x:v>
      </x:c>
      <x:c r="B20" s="112" t="str">
        <x:v>Giới hạn và kết luận</x:v>
      </x:c>
      <x:c r="C20" s="112" t="str">
        <x:v>Slide cuối</x:v>
      </x:c>
      <x:c r="D20" s="112" t="str">
        <x:v>Liên hệ, không phải nhân quả</x:v>
      </x:c>
      <x:c r="E20" s="112" t="str">
        <x:v>Không khẳng định quá mức</x:v>
      </x:c>
      <x:c r="F20" s="112" t="str">
        <x:v>[Tên 4]</x:v>
      </x:c>
    </x:row>
  </x:sheetData>
  <x:mergeCells>
    <x:mergeCell ref="A1:F1"/>
    <x:mergeCell ref="A3:F3"/>
    <x:mergeCell ref="A10:F10"/>
  </x:mergeCells>
  <x:pageMargins left="0.7" right="0.7" top="0.75" bottom="0.75" header="0.3" footer="0.3"/>
</x:worksheet>
</file>